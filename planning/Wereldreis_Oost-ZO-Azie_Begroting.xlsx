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Youri\Development\YourAtlas\planning\"/>
    </mc:Choice>
  </mc:AlternateContent>
  <xr:revisionPtr revIDLastSave="0" documentId="13_ncr:1_{5BFFAC9B-C999-4FA4-B87B-06BDFFFE841E}" xr6:coauthVersionLast="47" xr6:coauthVersionMax="47" xr10:uidLastSave="{00000000-0000-0000-0000-000000000000}"/>
  <bookViews>
    <workbookView xWindow="-57600" yWindow="2505" windowWidth="21600" windowHeight="11235" xr2:uid="{00000000-000D-0000-FFFF-FFFF00000000}"/>
  </bookViews>
  <sheets>
    <sheet name="Start" sheetId="1" r:id="rId1"/>
    <sheet name="Overzicht" sheetId="2" r:id="rId2"/>
    <sheet name="Instellingen" sheetId="3" r:id="rId3"/>
    <sheet name="Per land" sheetId="4" r:id="rId4"/>
    <sheet name="Vervoer" sheetId="5" r:id="rId5"/>
    <sheet name="Extra's" sheetId="6" r:id="rId6"/>
    <sheet name="Vooraf &amp; vast" sheetId="7" r:id="rId7"/>
    <sheet name="Checklis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7" l="1"/>
  <c r="E17" i="7"/>
  <c r="D17" i="7"/>
  <c r="E16" i="7"/>
  <c r="D16" i="7"/>
  <c r="E15" i="7"/>
  <c r="D15" i="7"/>
  <c r="E14" i="7"/>
  <c r="D14" i="7"/>
  <c r="E13" i="7"/>
  <c r="E18" i="7" s="1"/>
  <c r="D13" i="7"/>
  <c r="D18" i="7" s="1"/>
  <c r="G10" i="7"/>
  <c r="E10" i="7"/>
  <c r="D10" i="7"/>
  <c r="C10" i="7"/>
  <c r="J33" i="6"/>
  <c r="H33" i="6"/>
  <c r="G33" i="6"/>
  <c r="F33" i="6"/>
  <c r="J39" i="5"/>
  <c r="H39" i="5"/>
  <c r="G39" i="5"/>
  <c r="F39" i="5"/>
  <c r="AD22" i="4"/>
  <c r="AC22" i="4"/>
  <c r="D22" i="4"/>
  <c r="AE21" i="4"/>
  <c r="V21" i="4"/>
  <c r="U21" i="4"/>
  <c r="T21" i="4"/>
  <c r="S21" i="4"/>
  <c r="R21" i="4"/>
  <c r="Q21" i="4"/>
  <c r="M21" i="4"/>
  <c r="P21" i="4" s="1"/>
  <c r="Y21" i="4" s="1"/>
  <c r="L21" i="4"/>
  <c r="O21" i="4" s="1"/>
  <c r="X21" i="4" s="1"/>
  <c r="K21" i="4"/>
  <c r="N21" i="4" s="1"/>
  <c r="AE20" i="4"/>
  <c r="V20" i="4"/>
  <c r="U20" i="4"/>
  <c r="T20" i="4"/>
  <c r="S20" i="4"/>
  <c r="R20" i="4"/>
  <c r="Q20" i="4"/>
  <c r="M20" i="4"/>
  <c r="P20" i="4" s="1"/>
  <c r="Y20" i="4" s="1"/>
  <c r="AB20" i="4" s="1"/>
  <c r="L20" i="4"/>
  <c r="O20" i="4" s="1"/>
  <c r="X20" i="4" s="1"/>
  <c r="AA20" i="4" s="1"/>
  <c r="K20" i="4"/>
  <c r="N20" i="4" s="1"/>
  <c r="AE19" i="4"/>
  <c r="V19" i="4"/>
  <c r="U19" i="4"/>
  <c r="T19" i="4"/>
  <c r="S19" i="4"/>
  <c r="R19" i="4"/>
  <c r="Q19" i="4"/>
  <c r="M19" i="4"/>
  <c r="P19" i="4" s="1"/>
  <c r="Y19" i="4" s="1"/>
  <c r="L19" i="4"/>
  <c r="O19" i="4" s="1"/>
  <c r="X19" i="4" s="1"/>
  <c r="K19" i="4"/>
  <c r="N19" i="4" s="1"/>
  <c r="W19" i="4" s="1"/>
  <c r="AE18" i="4"/>
  <c r="V18" i="4"/>
  <c r="U18" i="4"/>
  <c r="T18" i="4"/>
  <c r="S18" i="4"/>
  <c r="R18" i="4"/>
  <c r="Q18" i="4"/>
  <c r="M18" i="4"/>
  <c r="P18" i="4" s="1"/>
  <c r="Y18" i="4" s="1"/>
  <c r="AB18" i="4" s="1"/>
  <c r="L18" i="4"/>
  <c r="O18" i="4" s="1"/>
  <c r="X18" i="4" s="1"/>
  <c r="AA18" i="4" s="1"/>
  <c r="K18" i="4"/>
  <c r="N18" i="4" s="1"/>
  <c r="W18" i="4" s="1"/>
  <c r="Z18" i="4" s="1"/>
  <c r="AE17" i="4"/>
  <c r="V17" i="4"/>
  <c r="U17" i="4"/>
  <c r="T17" i="4"/>
  <c r="S17" i="4"/>
  <c r="R17" i="4"/>
  <c r="Q17" i="4"/>
  <c r="M17" i="4"/>
  <c r="P17" i="4" s="1"/>
  <c r="Y17" i="4" s="1"/>
  <c r="AB17" i="4" s="1"/>
  <c r="L17" i="4"/>
  <c r="O17" i="4" s="1"/>
  <c r="X17" i="4" s="1"/>
  <c r="AA17" i="4" s="1"/>
  <c r="K17" i="4"/>
  <c r="N17" i="4" s="1"/>
  <c r="W17" i="4" s="1"/>
  <c r="Z17" i="4" s="1"/>
  <c r="AE16" i="4"/>
  <c r="V16" i="4"/>
  <c r="U16" i="4"/>
  <c r="T16" i="4"/>
  <c r="S16" i="4"/>
  <c r="R16" i="4"/>
  <c r="Q16" i="4"/>
  <c r="M16" i="4"/>
  <c r="P16" i="4" s="1"/>
  <c r="Y16" i="4" s="1"/>
  <c r="AB16" i="4" s="1"/>
  <c r="L16" i="4"/>
  <c r="O16" i="4" s="1"/>
  <c r="X16" i="4" s="1"/>
  <c r="AA16" i="4" s="1"/>
  <c r="K16" i="4"/>
  <c r="N16" i="4" s="1"/>
  <c r="W16" i="4" s="1"/>
  <c r="Z16" i="4" s="1"/>
  <c r="AE15" i="4"/>
  <c r="V15" i="4"/>
  <c r="U15" i="4"/>
  <c r="T15" i="4"/>
  <c r="S15" i="4"/>
  <c r="R15" i="4"/>
  <c r="Q15" i="4"/>
  <c r="M15" i="4"/>
  <c r="P15" i="4" s="1"/>
  <c r="Y15" i="4" s="1"/>
  <c r="AB15" i="4" s="1"/>
  <c r="L15" i="4"/>
  <c r="O15" i="4" s="1"/>
  <c r="X15" i="4" s="1"/>
  <c r="AA15" i="4" s="1"/>
  <c r="K15" i="4"/>
  <c r="N15" i="4" s="1"/>
  <c r="W15" i="4" s="1"/>
  <c r="Z15" i="4" s="1"/>
  <c r="AE14" i="4"/>
  <c r="V14" i="4"/>
  <c r="U14" i="4"/>
  <c r="T14" i="4"/>
  <c r="S14" i="4"/>
  <c r="R14" i="4"/>
  <c r="Q14" i="4"/>
  <c r="M14" i="4"/>
  <c r="P14" i="4" s="1"/>
  <c r="Y14" i="4" s="1"/>
  <c r="L14" i="4"/>
  <c r="O14" i="4" s="1"/>
  <c r="X14" i="4" s="1"/>
  <c r="K14" i="4"/>
  <c r="N14" i="4" s="1"/>
  <c r="W14" i="4" s="1"/>
  <c r="AE13" i="4"/>
  <c r="V13" i="4"/>
  <c r="U13" i="4"/>
  <c r="T13" i="4"/>
  <c r="S13" i="4"/>
  <c r="R13" i="4"/>
  <c r="Q13" i="4"/>
  <c r="M13" i="4"/>
  <c r="P13" i="4" s="1"/>
  <c r="Y13" i="4" s="1"/>
  <c r="AB13" i="4" s="1"/>
  <c r="L13" i="4"/>
  <c r="O13" i="4" s="1"/>
  <c r="X13" i="4" s="1"/>
  <c r="AA13" i="4" s="1"/>
  <c r="K13" i="4"/>
  <c r="N13" i="4" s="1"/>
  <c r="W13" i="4" s="1"/>
  <c r="Z13" i="4" s="1"/>
  <c r="AE12" i="4"/>
  <c r="V12" i="4"/>
  <c r="U12" i="4"/>
  <c r="T12" i="4"/>
  <c r="S12" i="4"/>
  <c r="R12" i="4"/>
  <c r="Q12" i="4"/>
  <c r="M12" i="4"/>
  <c r="P12" i="4" s="1"/>
  <c r="Y12" i="4" s="1"/>
  <c r="AB12" i="4" s="1"/>
  <c r="L12" i="4"/>
  <c r="O12" i="4" s="1"/>
  <c r="X12" i="4" s="1"/>
  <c r="AA12" i="4" s="1"/>
  <c r="K12" i="4"/>
  <c r="N12" i="4" s="1"/>
  <c r="W12" i="4" s="1"/>
  <c r="Z12" i="4" s="1"/>
  <c r="AE11" i="4"/>
  <c r="V11" i="4"/>
  <c r="U11" i="4"/>
  <c r="T11" i="4"/>
  <c r="S11" i="4"/>
  <c r="R11" i="4"/>
  <c r="Q11" i="4"/>
  <c r="M11" i="4"/>
  <c r="P11" i="4" s="1"/>
  <c r="Y11" i="4" s="1"/>
  <c r="AB11" i="4" s="1"/>
  <c r="L11" i="4"/>
  <c r="O11" i="4" s="1"/>
  <c r="X11" i="4" s="1"/>
  <c r="AA11" i="4" s="1"/>
  <c r="K11" i="4"/>
  <c r="N11" i="4" s="1"/>
  <c r="AE10" i="4"/>
  <c r="V10" i="4"/>
  <c r="U10" i="4"/>
  <c r="T10" i="4"/>
  <c r="S10" i="4"/>
  <c r="R10" i="4"/>
  <c r="Q10" i="4"/>
  <c r="M10" i="4"/>
  <c r="P10" i="4" s="1"/>
  <c r="L10" i="4"/>
  <c r="O10" i="4" s="1"/>
  <c r="X10" i="4" s="1"/>
  <c r="K10" i="4"/>
  <c r="N10" i="4" s="1"/>
  <c r="W10" i="4" s="1"/>
  <c r="AE9" i="4"/>
  <c r="V9" i="4"/>
  <c r="U9" i="4"/>
  <c r="T9" i="4"/>
  <c r="S9" i="4"/>
  <c r="R9" i="4"/>
  <c r="Q9" i="4"/>
  <c r="M9" i="4"/>
  <c r="P9" i="4" s="1"/>
  <c r="Y9" i="4" s="1"/>
  <c r="L9" i="4"/>
  <c r="O9" i="4" s="1"/>
  <c r="X9" i="4" s="1"/>
  <c r="K9" i="4"/>
  <c r="N9" i="4" s="1"/>
  <c r="W9" i="4" s="1"/>
  <c r="AE8" i="4"/>
  <c r="V8" i="4"/>
  <c r="U8" i="4"/>
  <c r="T8" i="4"/>
  <c r="S8" i="4"/>
  <c r="R8" i="4"/>
  <c r="Q8" i="4"/>
  <c r="M8" i="4"/>
  <c r="P8" i="4" s="1"/>
  <c r="Y8" i="4" s="1"/>
  <c r="AB8" i="4" s="1"/>
  <c r="L8" i="4"/>
  <c r="O8" i="4" s="1"/>
  <c r="X8" i="4" s="1"/>
  <c r="AA8" i="4" s="1"/>
  <c r="K8" i="4"/>
  <c r="N8" i="4" s="1"/>
  <c r="AE7" i="4"/>
  <c r="V7" i="4"/>
  <c r="U7" i="4"/>
  <c r="T7" i="4"/>
  <c r="S7" i="4"/>
  <c r="R7" i="4"/>
  <c r="Q7" i="4"/>
  <c r="M7" i="4"/>
  <c r="P7" i="4" s="1"/>
  <c r="Y7" i="4" s="1"/>
  <c r="L7" i="4"/>
  <c r="O7" i="4" s="1"/>
  <c r="X7" i="4" s="1"/>
  <c r="K7" i="4"/>
  <c r="N7" i="4" s="1"/>
  <c r="W7" i="4" s="1"/>
  <c r="AE6" i="4"/>
  <c r="V6" i="4"/>
  <c r="U6" i="4"/>
  <c r="T6" i="4"/>
  <c r="S6" i="4"/>
  <c r="R6" i="4"/>
  <c r="Q6" i="4"/>
  <c r="M6" i="4"/>
  <c r="P6" i="4" s="1"/>
  <c r="Y6" i="4" s="1"/>
  <c r="AB6" i="4" s="1"/>
  <c r="L6" i="4"/>
  <c r="O6" i="4" s="1"/>
  <c r="X6" i="4" s="1"/>
  <c r="AA6" i="4" s="1"/>
  <c r="K6" i="4"/>
  <c r="N6" i="4" s="1"/>
  <c r="W6" i="4" s="1"/>
  <c r="Z6" i="4" s="1"/>
  <c r="AE5" i="4"/>
  <c r="V5" i="4"/>
  <c r="V22" i="4" s="1"/>
  <c r="U5" i="4"/>
  <c r="U22" i="4" s="1"/>
  <c r="T5" i="4"/>
  <c r="T22" i="4" s="1"/>
  <c r="S5" i="4"/>
  <c r="S22" i="4" s="1"/>
  <c r="R5" i="4"/>
  <c r="R22" i="4" s="1"/>
  <c r="Q5" i="4"/>
  <c r="M5" i="4"/>
  <c r="P5" i="4" s="1"/>
  <c r="L5" i="4"/>
  <c r="O5" i="4" s="1"/>
  <c r="K5" i="4"/>
  <c r="N5" i="4" s="1"/>
  <c r="E5" i="4"/>
  <c r="F5" i="4" s="1"/>
  <c r="E6" i="4" s="1"/>
  <c r="F6" i="4" s="1"/>
  <c r="E7" i="4" s="1"/>
  <c r="F7" i="4" s="1"/>
  <c r="E8" i="4" s="1"/>
  <c r="F8" i="4" s="1"/>
  <c r="E9" i="4" s="1"/>
  <c r="F9" i="4" s="1"/>
  <c r="E10" i="4" s="1"/>
  <c r="F10" i="4" s="1"/>
  <c r="E11" i="4" s="1"/>
  <c r="F11" i="4" s="1"/>
  <c r="E12" i="4" s="1"/>
  <c r="F12" i="4" s="1"/>
  <c r="E13" i="4" s="1"/>
  <c r="F13" i="4" s="1"/>
  <c r="E14" i="4" s="1"/>
  <c r="F14" i="4" s="1"/>
  <c r="E15" i="4" s="1"/>
  <c r="F15" i="4" s="1"/>
  <c r="E16" i="4" s="1"/>
  <c r="F16" i="4" s="1"/>
  <c r="E17" i="4" s="1"/>
  <c r="F17" i="4" s="1"/>
  <c r="E18" i="4" s="1"/>
  <c r="F18" i="4" s="1"/>
  <c r="E19" i="4" s="1"/>
  <c r="F19" i="4" s="1"/>
  <c r="E20" i="4" s="1"/>
  <c r="F20" i="4" s="1"/>
  <c r="E21" i="4" s="1"/>
  <c r="F21" i="4" s="1"/>
  <c r="F22" i="4" s="1"/>
  <c r="B10" i="3"/>
  <c r="E33" i="2"/>
  <c r="E32" i="2"/>
  <c r="E31" i="2"/>
  <c r="E30" i="2"/>
  <c r="E29" i="2"/>
  <c r="E28" i="2"/>
  <c r="E27" i="2"/>
  <c r="B22" i="2"/>
  <c r="B19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C19" i="7" l="1"/>
  <c r="B12" i="2" s="1"/>
  <c r="E19" i="7"/>
  <c r="D12" i="2" s="1"/>
  <c r="D19" i="7"/>
  <c r="W21" i="4"/>
  <c r="W11" i="4"/>
  <c r="Z11" i="4" s="1"/>
  <c r="Y10" i="4"/>
  <c r="Q22" i="4"/>
  <c r="W20" i="4"/>
  <c r="Z20" i="4" s="1"/>
  <c r="W8" i="4"/>
  <c r="Z8" i="4" s="1"/>
  <c r="C12" i="2"/>
  <c r="E12" i="2"/>
  <c r="E14" i="2" s="1"/>
  <c r="E16" i="2" s="1"/>
  <c r="AB21" i="4"/>
  <c r="D33" i="2"/>
  <c r="AA21" i="4"/>
  <c r="C33" i="2"/>
  <c r="Z21" i="4"/>
  <c r="B33" i="2"/>
  <c r="AB19" i="4"/>
  <c r="D32" i="2"/>
  <c r="AA19" i="4"/>
  <c r="C32" i="2"/>
  <c r="Z19" i="4"/>
  <c r="B32" i="2"/>
  <c r="AB14" i="4"/>
  <c r="D31" i="2"/>
  <c r="AA14" i="4"/>
  <c r="C31" i="2"/>
  <c r="Z14" i="4"/>
  <c r="B31" i="2"/>
  <c r="D30" i="2"/>
  <c r="AB10" i="4"/>
  <c r="AA10" i="4"/>
  <c r="C30" i="2"/>
  <c r="Z10" i="4"/>
  <c r="B30" i="2"/>
  <c r="AB9" i="4"/>
  <c r="D29" i="2"/>
  <c r="AA9" i="4"/>
  <c r="C29" i="2"/>
  <c r="Z9" i="4"/>
  <c r="B29" i="2"/>
  <c r="AB7" i="4"/>
  <c r="D28" i="2"/>
  <c r="AA7" i="4"/>
  <c r="C28" i="2"/>
  <c r="Z7" i="4"/>
  <c r="B28" i="2"/>
  <c r="P22" i="4"/>
  <c r="D5" i="2" s="1"/>
  <c r="Y5" i="4"/>
  <c r="O22" i="4"/>
  <c r="C5" i="2" s="1"/>
  <c r="X5" i="4"/>
  <c r="N22" i="4"/>
  <c r="B5" i="2" s="1"/>
  <c r="W5" i="4"/>
  <c r="D13" i="2" l="1"/>
  <c r="D14" i="2"/>
  <c r="D15" i="2"/>
  <c r="AB5" i="4"/>
  <c r="D27" i="2"/>
  <c r="Y22" i="4"/>
  <c r="AB22" i="4" s="1"/>
  <c r="C13" i="2"/>
  <c r="C14" i="2"/>
  <c r="C15" i="2"/>
  <c r="AA5" i="4"/>
  <c r="X22" i="4"/>
  <c r="AA22" i="4" s="1"/>
  <c r="C27" i="2"/>
  <c r="B13" i="2"/>
  <c r="B14" i="2"/>
  <c r="B15" i="2"/>
  <c r="Z5" i="4"/>
  <c r="W22" i="4"/>
  <c r="Z22" i="4" s="1"/>
  <c r="B27" i="2"/>
  <c r="B16" i="2" l="1"/>
  <c r="B20" i="2"/>
  <c r="B21" i="2"/>
  <c r="C16" i="2"/>
  <c r="D16" i="2"/>
  <c r="E24" i="2" l="1"/>
  <c r="C23" i="2"/>
  <c r="C21" i="2"/>
  <c r="C20" i="2"/>
  <c r="D21" i="2"/>
  <c r="D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C5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Huidige block-budget uit routeBuilderContent.js (East &amp; Southeast Asia Grand Tour 🐉), excl. prijsstijging.</t>
        </r>
      </text>
    </comment>
    <comment ref="AC6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Huidige block-budget uit routeBuilderContent.js (East &amp; Southeast Asia Grand Tour 🐉), excl. prijsstijging.</t>
        </r>
      </text>
    </comment>
    <comment ref="AC7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Huidige block-budget uit routeBuilderContent.js (East &amp; Southeast Asia Grand Tour 🐉), excl. prijsstijging.</t>
        </r>
      </text>
    </comment>
    <comment ref="AC8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Huidige block-budget uit routeBuilderContent.js (East &amp; Southeast Asia Grand Tour 🐉), excl. prijsstijging.</t>
        </r>
      </text>
    </comment>
    <comment ref="AC9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Huidige block-budget uit routeBuilderContent.js (East &amp; Southeast Asia Grand Tour 🐉), excl. prijsstijging.</t>
        </r>
      </text>
    </comment>
    <comment ref="AC10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Huidige block-budget uit routeBuilderContent.js (East &amp; Southeast Asia Grand Tour 🐉), excl. prijsstijging.</t>
        </r>
      </text>
    </comment>
    <comment ref="AC1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Huidige block-budget uit routeBuilderContent.js (East &amp; Southeast Asia Grand Tour 🐉), excl. prijsstijging.</t>
        </r>
      </text>
    </comment>
    <comment ref="AC12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Huidige block-budget uit routeBuilderContent.js (East &amp; Southeast Asia Grand Tour 🐉), excl. prijsstijging.</t>
        </r>
      </text>
    </comment>
    <comment ref="AC13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Huidige block-budget uit routeBuilderContent.js (East &amp; Southeast Asia Grand Tour 🐉), excl. prijsstijging.</t>
        </r>
      </text>
    </comment>
    <comment ref="AC14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Huidige block-budget uit routeBuilderContent.js (East &amp; Southeast Asia Grand Tour 🐉), excl. prijsstijging.</t>
        </r>
      </text>
    </comment>
    <comment ref="AC15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Huidige block-budget uit routeBuilderContent.js (East &amp; Southeast Asia Grand Tour 🐉), excl. prijsstijging.</t>
        </r>
      </text>
    </comment>
    <comment ref="AC16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Huidige block-budget uit routeBuilderContent.js (East &amp; Southeast Asia Grand Tour 🐉), excl. prijsstijging.</t>
        </r>
      </text>
    </comment>
    <comment ref="AC17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Huidige block-budget uit routeBuilderContent.js (East &amp; Southeast Asia Grand Tour 🐉), excl. prijsstijging.</t>
        </r>
      </text>
    </comment>
    <comment ref="AC18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Huidige block-budget uit routeBuilderContent.js (East &amp; Southeast Asia Grand Tour 🐉), excl. prijsstijging.</t>
        </r>
      </text>
    </comment>
    <comment ref="AC19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Huidige block-budget uit routeBuilderContent.js (East &amp; Southeast Asia Grand Tour 🐉), excl. prijsstijging.</t>
        </r>
      </text>
    </comment>
    <comment ref="AC20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Huidige block-budget uit routeBuilderContent.js (East &amp; Southeast Asia Grand Tour 🐉), excl. prijsstijging.</t>
        </r>
      </text>
    </comment>
    <comment ref="AC21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Huidige block-budget uit routeBuilderContent.js (East &amp; Southeast Asia Grand Tour 🐉), excl. prijsstijging.</t>
        </r>
      </text>
    </comment>
  </commentList>
</comments>
</file>

<file path=xl/sharedStrings.xml><?xml version="1.0" encoding="utf-8"?>
<sst xmlns="http://schemas.openxmlformats.org/spreadsheetml/2006/main" count="721" uniqueCount="419">
  <si>
    <t>Wereldreis Oost- &amp; Zuidoost-Azië — begroting</t>
  </si>
  <si>
    <t>Route: YourAtlas 'East &amp; Southeast Asia Grand Tour 🐉' · 15 landen · 290 dagen · vertrek ±15 aug 2027 · alle bedragen per persoon</t>
  </si>
  <si>
    <t>ZO GEBRUIK JE DIT</t>
  </si>
  <si>
    <t>1</t>
  </si>
  <si>
    <t>Instellingen: kies vertrekdatum, of je een kamer deelt (accommodatie-factor), buffer % en de budget-/comfortfactoren.</t>
  </si>
  <si>
    <t>2</t>
  </si>
  <si>
    <t>Vooraf &amp; vast: vul je vaste lasten thuis per maand in (gele cellen). Het aantal maanden rekent zichzelf uit.</t>
  </si>
  <si>
    <t>3</t>
  </si>
  <si>
    <t>Extra's: zet per tour/visum 'Meenemen' op Ja of Nee (keuzelijst). Optionele dingen staan standaard op Nee.</t>
  </si>
  <si>
    <t>4</t>
  </si>
  <si>
    <t>Per land: pas het aantal dagen aan als je de route verandert — data, dagkosten en totalen rekenen mee.</t>
  </si>
  <si>
    <t>5</t>
  </si>
  <si>
    <t>Overzicht: totaal in drie niveaus (Budget / Basis / Comfort), per dag, per maand en per regio.</t>
  </si>
  <si>
    <t>6</t>
  </si>
  <si>
    <t>Tijdens boeken en reizen: vul de oranje WERKELIJK-kolommen in (Per land, Vervoer, Extra's, Vooraf). Zet de status op 'Geboekt'. Het Overzicht toont dan hoeveel je al kwijt bent.</t>
  </si>
  <si>
    <t>KLEUREN</t>
  </si>
  <si>
    <t>Blauwe tekst = invoer die je mag aanpassen · Gele cel = belangrijke keuze/aanname · Oranje cel = werkelijk betaald · Zwart = formule (niet aankomen) · Groen = haalt waarde uit ander tabblad</t>
  </si>
  <si>
    <t>STATUS VAN PRIJZEN</t>
  </si>
  <si>
    <t>'Gecheckt 2026-10' = opgezocht bij aanbieder/vergelijkingssite in oktober 2026 (bron in de toelichting) · 'Deels gecheckt' = een deel van de trajecten/bedragen gevonden, rest geschat · 'Schatting' = onderbouwde inschatting, nog niet hard gevonden · 'Geboekt' = zet je zelf als je het betaald hebt.</t>
  </si>
  <si>
    <t>Prijzen zijn 2026-snapshots; de prijsstijging naar 2027-28 zit in Instellingen (4%). Check vluchten en visa ±3-4 maanden voor vertrek opnieuw.</t>
  </si>
  <si>
    <t>LET OP — OPENBARE REPOSITORY</t>
  </si>
  <si>
    <t>Dit bestand staat in de YourAtlas-repository, en die is openbaar op GitHub. Zet hier geen persoonlijke gegevens in die niemand mag zien (bv. huur, salaris, rekeningnummers) als je het commit en pusht.</t>
  </si>
  <si>
    <t>Wereldreis Oost- &amp; Zuidoost-Azië — totale begroting (per persoon)</t>
  </si>
  <si>
    <t>Gebaseerd op YourAtlas-route 'East &amp; Southeast Asia Grand Tour 🐉' (15 landen, 290 dagen). Alles rekent live door: pas Instellingen, Per land, Vervoer, Extra's en Vooraf &amp; vast aan.</t>
  </si>
  <si>
    <t>Kostenpost</t>
  </si>
  <si>
    <t>Budget</t>
  </si>
  <si>
    <t>Basis</t>
  </si>
  <si>
    <t>Comfort</t>
  </si>
  <si>
    <t>WERKELIJK</t>
  </si>
  <si>
    <t>Wat zit erin</t>
  </si>
  <si>
    <t>Dagkosten (verblijf, eten, lokaal vervoer, kleine activiteiten)</t>
  </si>
  <si>
    <t>Dagbedrag × dagen per land.</t>
  </si>
  <si>
    <t>Vervoer binnen landen</t>
  </si>
  <si>
    <t>Treinen, bussen, binnenlandse vluchten, ferries.</t>
  </si>
  <si>
    <t>Vervoer tussen landen</t>
  </si>
  <si>
    <t>Grensovergangen per trein/boot/bus en vluchten tussen landen.</t>
  </si>
  <si>
    <t>Vluchten Nederland heen &amp; terug</t>
  </si>
  <si>
    <t>Open-jaw: AMS → Ulaanbaatar, Singapore → AMS.</t>
  </si>
  <si>
    <t>Tours, toegang &amp; activiteiten</t>
  </si>
  <si>
    <t>Gobi, Ha Long, Komodo, Angkor, El Nido–Coron, enz.</t>
  </si>
  <si>
    <t>Visa</t>
  </si>
  <si>
    <t>Cambodja, Laos, Indonesië (+ China als de visumvrije regeling niet verlengd wordt). Check vlak voor vertrek.</t>
  </si>
  <si>
    <t>Vooraf: verzekering, vaccinaties, uitrusting, sim</t>
  </si>
  <si>
    <t>Vaste lasten thuis</t>
  </si>
  <si>
    <t>Zelf invullen op tabblad Vooraf &amp; vast (Werkelijk = zelfde bedrag als gepland).</t>
  </si>
  <si>
    <t>Bank-, pin- en wisselkosten</t>
  </si>
  <si>
    <t>% van wat je ter plaatse uitgeeft (dagkosten, binnenlands vervoer, tours). Bij Werkelijk zitten bankkosten al in je uitgaven.</t>
  </si>
  <si>
    <t>Subtotaal</t>
  </si>
  <si>
    <t>Buffer onvoorzien</t>
  </si>
  <si>
    <t>% van de reiskosten (excl. vaste lasten thuis).</t>
  </si>
  <si>
    <t>TOTAAL</t>
  </si>
  <si>
    <t>Kengetallen</t>
  </si>
  <si>
    <t>Reisdagen</t>
  </si>
  <si>
    <t>Gemiddeld per dag (alles inbegrepen)</t>
  </si>
  <si>
    <t>Gemiddeld per maand (alles inbegrepen)</t>
  </si>
  <si>
    <t>Huidig YourAtlas-budget (alleen dagkosten, 2026-prijzen)</t>
  </si>
  <si>
    <t>Verschil Basis-totaal t.o.v. huidig YourAtlas-budget</t>
  </si>
  <si>
    <t>Dit is wat er nu nog níet in de route-budgetten van YourAtlas zit.</t>
  </si>
  <si>
    <t>Al uitgegeven t.o.v. Basis-totaal</t>
  </si>
  <si>
    <t>Vul tijdens het boeken/reizen de oranje WERKELIJK-kolommen in; dit percentage loopt dan mee.</t>
  </si>
  <si>
    <t>Per regio (dagkosten + vervoer + extra's, excl. vluchten NL en vooraf)</t>
  </si>
  <si>
    <t>Dagen</t>
  </si>
  <si>
    <t>Mongolië &amp; China</t>
  </si>
  <si>
    <t>Korea &amp; Japan</t>
  </si>
  <si>
    <t>Taiwan</t>
  </si>
  <si>
    <t>Vasteland Zuidoost-Azië</t>
  </si>
  <si>
    <t>Maleisië, Borneo &amp; Filipijnen</t>
  </si>
  <si>
    <t>Indonesië &amp; Oost-Timor</t>
  </si>
  <si>
    <t>Singapore</t>
  </si>
  <si>
    <t>Instellingen — pas hier de knoppen aan</t>
  </si>
  <si>
    <t>Legenda: blauwe tekst = invoer die je mag wijzigen · gele cel = belangrijke aanname · zwart = formule · groen = verwijzing naar ander tabblad</t>
  </si>
  <si>
    <t>Algemeen</t>
  </si>
  <si>
    <t>Vertrekdatum</t>
  </si>
  <si>
    <t>YourAtlas-route: start ±15 aug 2027 (Mongolië alleen goed in de zomer).</t>
  </si>
  <si>
    <t>Prijsstijging 2026 → reisjaar (factor)</t>
  </si>
  <si>
    <t>YourAtlas-prijzen zijn 2026-snapshots; reis valt in 2027-28. ±3-4% inflatie per jaar.</t>
  </si>
  <si>
    <t>Accommodatie-factor (1,00 = alleen, ±0,60 = kamer delen)</t>
  </si>
  <si>
    <t>Reis je met z'n tweeën en deel je een kamer, dan zakt je verblijfskosten per persoon flink. Alleen op accommodatie toegepast.</t>
  </si>
  <si>
    <t>Buffer onvoorzien (% van reiskosten)</t>
  </si>
  <si>
    <t>Ziekte, gemiste verbinding, iets kapot/gestolen, een extra tour die je toch wilt doen. 10-15% is gebruikelijk.</t>
  </si>
  <si>
    <t>Bank-, pin- en wisselkosten (% van uitgaven ter plaatse)</t>
  </si>
  <si>
    <t>Met Wise/Revolut ±0,5-1%, met een gewone NL-bankpas buiten de EU al snel 2-3% + €2-5 per opname.</t>
  </si>
  <si>
    <t>Maanden vaste lasten thuis (automatisch)</t>
  </si>
  <si>
    <t>Rekent zelf uit: reisdagen / 30,4, naar boven afgerond. Overschrijf alleen als je bv. eerder je huis opzegt.</t>
  </si>
  <si>
    <t>Budgetniveaus — vermenigvuldiger t.o.v. Basis per kostensoort</t>
  </si>
  <si>
    <t>Accommodatie</t>
  </si>
  <si>
    <t>Budget = slaapzaal/simpelste guesthouse · Basis = YourAtlas-niveau (mix dorm/eenvoudige privékamer) · Comfort = privékamer met badkamer / 2-3* hotel.</t>
  </si>
  <si>
    <t>Eten &amp; drinken</t>
  </si>
  <si>
    <t>Budget = alleen straatvoedsel/lokaal · Comfort = vaker restaurants, westers eten, drankjes.</t>
  </si>
  <si>
    <t>Lokaal vervoer &amp; kleine uitgaven</t>
  </si>
  <si>
    <t>Bus/metro vs. vaker Grab/taxi; incl. was, toiletspullen, simkaart-opwaarderen.</t>
  </si>
  <si>
    <t>Activiteiten &amp; toegang (dagelijks)</t>
  </si>
  <si>
    <t>Musea, tempels, kleine tours. Grote tours/boottochten staan apart op tabblad Extra's.</t>
  </si>
  <si>
    <t>Vervoer en extra's hebben per regel een eigen Budget/Basis/Comfort-bedrag (tabbladen Vervoer en Extra's).</t>
  </si>
  <si>
    <t>Per land — dagkosten + vervoer + extra's, in drie budgetniveaus (per persoon)</t>
  </si>
  <si>
    <t>Blauw = invoer. Basis-dagbedragen zijn de YourAtlas-dagtarieven, opgesplitst per kostensoort. Vervoer = binnen het land + de rit naar het volgende land (excl. vluchten NL heen/terug). Bedragen incl. prijsstijging uit Instellingen.</t>
  </si>
  <si>
    <t>Blok</t>
  </si>
  <si>
    <t>Regio</t>
  </si>
  <si>
    <t>Land</t>
  </si>
  <si>
    <t>Van</t>
  </si>
  <si>
    <t>Tot</t>
  </si>
  <si>
    <t>Basis: verblijf €/dag</t>
  </si>
  <si>
    <t>Basis: eten €/dag</t>
  </si>
  <si>
    <t>Basis: lokaal vervoer €/dag</t>
  </si>
  <si>
    <t>Basis: activiteiten €/dag</t>
  </si>
  <si>
    <t>€/dag Budget</t>
  </si>
  <si>
    <t>€/dag Basis</t>
  </si>
  <si>
    <t>€/dag Comfort</t>
  </si>
  <si>
    <t>Dagkosten Budget</t>
  </si>
  <si>
    <t>Dagkosten Basis</t>
  </si>
  <si>
    <t>Dagkosten Comfort</t>
  </si>
  <si>
    <t>Vervoer Budget</t>
  </si>
  <si>
    <t>Vervoer Basis</t>
  </si>
  <si>
    <t>Vervoer Comfort</t>
  </si>
  <si>
    <t>Extra's Budget</t>
  </si>
  <si>
    <t>Extra's Basis</t>
  </si>
  <si>
    <t>Extra's Comfort</t>
  </si>
  <si>
    <t>TOTAAL Budget</t>
  </si>
  <si>
    <t>TOTAAL Basis</t>
  </si>
  <si>
    <t>TOTAAL Comfort</t>
  </si>
  <si>
    <t>All-in €/dag Budget</t>
  </si>
  <si>
    <t>All-in €/dag Basis</t>
  </si>
  <si>
    <t>All-in €/dag Comfort</t>
  </si>
  <si>
    <t>Huidig budget in YourAtlas</t>
  </si>
  <si>
    <t>WERKELIJK uitgegeven (dagkosten)</t>
  </si>
  <si>
    <t>Verschil met Basis</t>
  </si>
  <si>
    <t>MN</t>
  </si>
  <si>
    <t>Mongolië</t>
  </si>
  <si>
    <t>CN</t>
  </si>
  <si>
    <t>China</t>
  </si>
  <si>
    <t>KR</t>
  </si>
  <si>
    <t>Zuid-Korea</t>
  </si>
  <si>
    <t>JP</t>
  </si>
  <si>
    <t>Japan</t>
  </si>
  <si>
    <t>TW</t>
  </si>
  <si>
    <t>VN</t>
  </si>
  <si>
    <t>Vietnam</t>
  </si>
  <si>
    <t>KH</t>
  </si>
  <si>
    <t>Cambodja</t>
  </si>
  <si>
    <t>LA</t>
  </si>
  <si>
    <t>Laos</t>
  </si>
  <si>
    <t>TH</t>
  </si>
  <si>
    <t>Thailand</t>
  </si>
  <si>
    <t>MY-W</t>
  </si>
  <si>
    <t>Maleisië (schiereiland)</t>
  </si>
  <si>
    <t>MY-SW</t>
  </si>
  <si>
    <t>Maleisië (Sarawak)</t>
  </si>
  <si>
    <t>BN</t>
  </si>
  <si>
    <t>Brunei</t>
  </si>
  <si>
    <t>MY-SB</t>
  </si>
  <si>
    <t>Maleisië (Sabah)</t>
  </si>
  <si>
    <t>PH</t>
  </si>
  <si>
    <t>Filipijnen</t>
  </si>
  <si>
    <t>ID</t>
  </si>
  <si>
    <t>Indonesië</t>
  </si>
  <si>
    <t>TL</t>
  </si>
  <si>
    <t>Oost-Timor</t>
  </si>
  <si>
    <t>SG</t>
  </si>
  <si>
    <t>Totaal</t>
  </si>
  <si>
    <t>Vervoer — binnen landen, tussen landen en de vluchten heen/terug (per persoon, prijzen okt 2026)</t>
  </si>
  <si>
    <t>Blok = het land waar je vertrekt. Soort: Binnenlands / Tussen landen / Internationaal (NL heen/terug). Budget = goedkoopste klasse/vroeg boeken · Comfort = hogere klasse/flexibel ticket.</t>
  </si>
  <si>
    <t>Naar</t>
  </si>
  <si>
    <t>Soort</t>
  </si>
  <si>
    <t>Vervoermiddel</t>
  </si>
  <si>
    <t>Status prijs</t>
  </si>
  <si>
    <t>WERKELIJK betaald</t>
  </si>
  <si>
    <t>Toelichting / bron</t>
  </si>
  <si>
    <t>Amsterdam</t>
  </si>
  <si>
    <t>Ulaanbaatar</t>
  </si>
  <si>
    <t>Internationaal</t>
  </si>
  <si>
    <t>Vlucht enkele reis (Turkish via Istanbul)</t>
  </si>
  <si>
    <t>Deels gecheckt</t>
  </si>
  <si>
    <t>Gem. enkele reis ±$529 (farecompare); Turkish UBN-AMS $516-627. Fares voor aug 2027 nog niet gepubliceerd. Boek 3-5 mnd vooruit.</t>
  </si>
  <si>
    <t>Mörön (Khövsgöl)</t>
  </si>
  <si>
    <t>Binnenlands</t>
  </si>
  <si>
    <t>Binnenlandse vlucht retour</t>
  </si>
  <si>
    <t>Gecheckt 2026-10</t>
  </si>
  <si>
    <t>$113-230 enkele reis (Expedia/Skyscanner); voor buitenlanders soms duurder.</t>
  </si>
  <si>
    <t>Kharkhorin / Terelj</t>
  </si>
  <si>
    <t>Bus / gedeelde minivan</t>
  </si>
  <si>
    <t>Schatting</t>
  </si>
  <si>
    <t>±30.000 MNT (Kharkhorin) en ±12.000 MNT (Terelj) per rit. Gobi-tour zelf staat bij Extra's.</t>
  </si>
  <si>
    <t>Beijing</t>
  </si>
  <si>
    <t>Tussen landen</t>
  </si>
  <si>
    <t>Trans-Mongolië trein K24 (hard / soft sleeper)</t>
  </si>
  <si>
    <t>Oude (ongedateerde) tarieven CNY 1.310 hard / 2.041 soft. Rijdt 1x per week (K24 vertrekt donderdag) — plan de Mongolië-datum hierop. Boek via eticket.ubtz.mn of 12306.</t>
  </si>
  <si>
    <t>Qingdao (via Pingyao, Xi'an, Chengdu, Zhangjiajie, Guilin, Huangshan, Hangzhou, Shanghai)</t>
  </si>
  <si>
    <t>±10 hogesnelheidstreinen 2e klas (Comfort = 1e klas)</t>
  </si>
  <si>
    <t>±CNY 2.480 aan 2e-klas-trajecten; gecheckt: Xi'an-Chengdu ¥263, Hangzhou-Shanghai ¥73. Golden Week (1-7 okt) vroeg boeken.</t>
  </si>
  <si>
    <t>Qingdao</t>
  </si>
  <si>
    <t>Incheon</t>
  </si>
  <si>
    <t>Trein naar Weihai + nachtferry Weihai–Incheon</t>
  </si>
  <si>
    <t>Ferry ₩140k economy t/m ₩240k deluxe (Rome2Rio, ongedateerd) + trein ±€10-15. Vaart ±dagelijks; dienstregeling vooraf checken.</t>
  </si>
  <si>
    <t>Seoul</t>
  </si>
  <si>
    <t>Busan (via Gyeongju)</t>
  </si>
  <si>
    <t>KTX + metro/bus</t>
  </si>
  <si>
    <t>KTX Seoul-Singyeongju ±₩45k + Singyeongju-Busan ±₩16k; express bus Seoul-Busan ₩24-28k (Budget).</t>
  </si>
  <si>
    <t>Busan</t>
  </si>
  <si>
    <t>Fukuoka</t>
  </si>
  <si>
    <t>Camellia Line nachtferry</t>
  </si>
  <si>
    <t>Ferryscanner (mei 2026): €48-150. 3-6x per week.</t>
  </si>
  <si>
    <t>Osaka (via Hiroshima, Hakone, Tokyo, Nikko, Alpen, Kanazawa, Kyoto, Nara)</t>
  </si>
  <si>
    <t>Shinkansen + regionale passen + bussen</t>
  </si>
  <si>
    <t>Hakone Freepass ¥7.100 en Nikko pass ¥3.000 gecheckt; rest losse tickets. JR Pass NIET zinvol (7 dagen ¥53.000 vanaf okt 2026). Takayama-Hokuriku pass (¥19.800) alleen rendabel met shinkansen Tokyo-Nagoya. Budget = nachtbussen.</t>
  </si>
  <si>
    <t>Osaka (Kansai)</t>
  </si>
  <si>
    <t>Taipei</t>
  </si>
  <si>
    <t>Budgetvlucht incl. bagage (Peach/Jetstar/Tigerair)</t>
  </si>
  <si>
    <t>Niet hard gevonden; bagage bij Peach kost extra.</t>
  </si>
  <si>
    <t>Kenting</t>
  </si>
  <si>
    <t>HSR / trein / bus + Alishan-treintje</t>
  </si>
  <si>
    <t>Alishan Forest Railway NT$150 gecheckt; Taiwan Railway-tarieven +27% in 2025, HSR bevroren tot 2028. Rest geschat.</t>
  </si>
  <si>
    <t>Kaohsiung</t>
  </si>
  <si>
    <t>Hanoi</t>
  </si>
  <si>
    <t>Bus Kenting–Kaohsiung + directe vlucht naar Hanoi</t>
  </si>
  <si>
    <t>Vlucht $75-138 (Skyscanner), VietJet 7x/week + Vietnam Airlines ±10x/week; bus ±€8-10.</t>
  </si>
  <si>
    <t>Chau Doc</t>
  </si>
  <si>
    <t>Bussen Ha Giang/Cao Bang, trein naar Dong Hoi, vlucht Dong Hoi–HCMC, Phu Quoc v.v.</t>
  </si>
  <si>
    <t>Gecheckt: sleeperbus Hanoi-Ha Giang 250-400k VND, Phu Quoc-vlucht 700-1.000k VND. Dong Hoi-HCMC-vlucht en trein geschat.</t>
  </si>
  <si>
    <t>Phnom Penh</t>
  </si>
  <si>
    <t>Mekongboot via rivier-grensovergang</t>
  </si>
  <si>
    <t>Hang Chau speedboot $27-50; $15-backpackerboot stopt aan de grens (lopen + minibus). Dagelijks.</t>
  </si>
  <si>
    <t>Stung Treng (via Siem Reap)</t>
  </si>
  <si>
    <t>Bussen</t>
  </si>
  <si>
    <t>Niet apart opgezocht.</t>
  </si>
  <si>
    <t>Stung Treng</t>
  </si>
  <si>
    <t>Si Phan Don</t>
  </si>
  <si>
    <t>Bus via Dom Kralor-grens</t>
  </si>
  <si>
    <t>Niet hard gevonden; minibus dagelijks.</t>
  </si>
  <si>
    <t>Luang Prabang (+ Nong Khiaw)</t>
  </si>
  <si>
    <t>Bussen + Lao-China-trein</t>
  </si>
  <si>
    <t>Luang Prabang</t>
  </si>
  <si>
    <t>Chiang Khong</t>
  </si>
  <si>
    <t>2-daagse slowboat via Pak Beng + grens</t>
  </si>
  <si>
    <t>Mei 2026: 750k kip via agent / 600k aan de kade (±€25-31), stijgend door brandstof. Overnachting Pak Beng zit in dagkosten.</t>
  </si>
  <si>
    <t>Chiang Rai</t>
  </si>
  <si>
    <t>Koh Lipe</t>
  </si>
  <si>
    <t>Bussen, trein/nachttrein, ferries</t>
  </si>
  <si>
    <t>Langkawi</t>
  </si>
  <si>
    <t>Speedboot</t>
  </si>
  <si>
    <t>MYR 140 (Direct Ferries) + Tarutao-parkfee 200 THB. 1x per dag, seizoen ±nov-mei.</t>
  </si>
  <si>
    <t>Kuala Lumpur</t>
  </si>
  <si>
    <t>Ferry + bussen (Penang, Cameron Highlands)</t>
  </si>
  <si>
    <t>Kuching</t>
  </si>
  <si>
    <t>Vlucht (AirAsia) incl. bagage</t>
  </si>
  <si>
    <t>AirAsia vanaf RM 92 (apr 2025) + bagage €10-15. Dagelijks.</t>
  </si>
  <si>
    <t>Bandar Seri Begawan</t>
  </si>
  <si>
    <t>Bussen via Miri (±18 u)</t>
  </si>
  <si>
    <t>Kuching-Miri RM 88-115, Miri-BSB ±€10-12. Comfort = vlucht naar Miri + bus.</t>
  </si>
  <si>
    <t>Kota Kinabalu</t>
  </si>
  <si>
    <t>Bus of ferry via Labuan</t>
  </si>
  <si>
    <t>Niet gevonden; YourAtlas noemt bus ±MYR 100.</t>
  </si>
  <si>
    <t>Kinabatangan / Sandakan</t>
  </si>
  <si>
    <t>Bussen / minivans</t>
  </si>
  <si>
    <t>Manila</t>
  </si>
  <si>
    <t>Vlucht (AirAsia) + bagage</t>
  </si>
  <si>
    <t>Gem. enkele reis $88 (farecompare), direct AirAsia ±5x/week.</t>
  </si>
  <si>
    <t>Cebu (via Banaue, Palawan, Siargao, Bohol)</t>
  </si>
  <si>
    <t>Binnenlandse vluchten + ferries + bussen</t>
  </si>
  <si>
    <t>Gecheckt: bus Banaue ₱600-700 enkel, OceanJet Cebu-Bohol ₱500-800, Cebu-Siargao vanaf $31. Overige vluchten geschat; dec-jan duurder.</t>
  </si>
  <si>
    <t>Cebu</t>
  </si>
  <si>
    <t>Medan</t>
  </si>
  <si>
    <t>Vlucht met overstap (KL/Singapore)</t>
  </si>
  <si>
    <t>Vanaf ±$130 (Expedia); typisch PHP 17-19k (Trip.com). Geen directe vlucht.</t>
  </si>
  <si>
    <t>Kupang (via Sulawesi, Lombok, Flores)</t>
  </si>
  <si>
    <t>±4 binnenlandse vluchten + bussen/ferries</t>
  </si>
  <si>
    <t>Vluchten ±60% hiervan (Padang-Manado, Makassar-Lombok, Lombok-Labuan Bajo, naar Kupang); Flores-bussen o.b.v. Travelfish. Luchttarieven stegen medio 2026.</t>
  </si>
  <si>
    <t>Kupang</t>
  </si>
  <si>
    <t>Dili</t>
  </si>
  <si>
    <t>Bus over land via Atambua + Motaain-grens (±10-12 u)</t>
  </si>
  <si>
    <t>LET OP: er gaat in 2026 GEEN directe vlucht (alleen 1-stop ±€590, 20-24 u). Over land heb je vooraf een Visa Application Authorisation van het Oost-Timor-consulaat in Kupang nodig (±10 werkdagen). YourAtlas-route noemt nog een vlucht.</t>
  </si>
  <si>
    <t>Jaco / Atauro</t>
  </si>
  <si>
    <t>Microlets / bus / boot</t>
  </si>
  <si>
    <t>Bus ±$25 retour, boot $10-20.</t>
  </si>
  <si>
    <t>Vlucht (Aero Dili direct, 1-2x/week)</t>
  </si>
  <si>
    <t>SIN-DIL vanaf ±$343 (Skyscanner); direct maar 1-2x per week en onregelmatig — plan slack in. Via Bali mogelijk goedkoper.</t>
  </si>
  <si>
    <t>Vlucht enkele reis</t>
  </si>
  <si>
    <t>Vanaf S$511 enkele reis (Cheapflights, apr 2026); mei is de goedkoopste maand.</t>
  </si>
  <si>
    <t>Totaal (excl. prijsstijging)</t>
  </si>
  <si>
    <t>Extra's — tours, toegang en visa die NIET in het dagbedrag zitten (per persoon, prijzen okt 2026)</t>
  </si>
  <si>
    <t>Zet 'Meenemen' op Ja/Nee om een post mee te tellen. Optionele posten staan standaard op Nee.</t>
  </si>
  <si>
    <t>Omschrijving</t>
  </si>
  <si>
    <t>Categorie</t>
  </si>
  <si>
    <t>Optioneel?</t>
  </si>
  <si>
    <t>Meenemen</t>
  </si>
  <si>
    <t>Gobi-jeeptour (±6 dagen, gedeelde 4x4 + gids + ger camps)</t>
  </si>
  <si>
    <t>Tour</t>
  </si>
  <si>
    <t>Nee</t>
  </si>
  <si>
    <t>Ja</t>
  </si>
  <si>
    <t>Aanbieders $1.017-1.377 p.p. voor 6 dagen; ±$120/dag. Goedkoper met een hostelgroep van 5-6.</t>
  </si>
  <si>
    <t>Toeristenvisum (L) incl. servicekosten</t>
  </si>
  <si>
    <t>Visum</t>
  </si>
  <si>
    <t>35 dagen &gt; 30 dagen visumvrij → visum nodig (of China inkorten tot 30 d). De visumvrije regeling loopt bovendien t/m 31-12-2026. Tarief niet gevonden.</t>
  </si>
  <si>
    <t>Grote toegangskaarten (Muur, Terracotta, Zhangjiajie, Huangshan + kabelbaan, Li-rivier)</t>
  </si>
  <si>
    <t>Toegang</t>
  </si>
  <si>
    <t>Mutianyu ¥45 + kabelbaan ¥140 gecheckt; rest geschat.</t>
  </si>
  <si>
    <t>Overnachting op de top van Huangshan (meerprijs)</t>
  </si>
  <si>
    <t>Niet opgezocht.</t>
  </si>
  <si>
    <t>DMZ-tour vanuit Seoul</t>
  </si>
  <si>
    <t>Halve dag ₩50-70k; met JSA ₩100-130k (JSA soms gesloten).</t>
  </si>
  <si>
    <t>1x ryokan met onsen + diner (meerprijs)</t>
  </si>
  <si>
    <t>Ha Giang Loop met easy rider (4 dagen)</t>
  </si>
  <si>
    <t>2026: $210-280 voor 4 dagen; brandstof/eten deels extra.</t>
  </si>
  <si>
    <t>Ha Long / Lan Ha Bay cruise 2D1N</t>
  </si>
  <si>
    <t>$145-255; transfer Hanoi ±$25 extra, eenpersoonstoeslag ±$80.</t>
  </si>
  <si>
    <t>Visum (e-visa)</t>
  </si>
  <si>
    <t>E-visa $30 sinds 1-1-2025; ordinary visa $35.</t>
  </si>
  <si>
    <t>Angkor 3-dagenpas</t>
  </si>
  <si>
    <t>$62, geldig 3 dagen binnen 7.</t>
  </si>
  <si>
    <t>Tuktuk Angkor (3 dagen)</t>
  </si>
  <si>
    <t>$20-35 per dag.</t>
  </si>
  <si>
    <t>Visum (e-visa / visa on arrival)</t>
  </si>
  <si>
    <t>Bronnen spreken elkaar tegen: VoA $30-42, e-visa $30-55 (laoevisa.gov.la).</t>
  </si>
  <si>
    <t>Khao Sok raft-house tour (2D1N)</t>
  </si>
  <si>
    <t>Gedeeld 2.500-3.500 THB; parkfee 320 THB vaak extra.</t>
  </si>
  <si>
    <t>Ulu Temburong NP (verplichte tour)</t>
  </si>
  <si>
    <t>BND 140-180; transfer soms extra.</t>
  </si>
  <si>
    <t>Kinabatangan-rivier tour 2D1N</t>
  </si>
  <si>
    <t>MYR 500 (dorm) / 730 (deluxe) / 1.670 (lodge); jul-aug +MYR 80.</t>
  </si>
  <si>
    <t>Mount Kinabalu beklimmen 2D1N (permit + gids + hut)</t>
  </si>
  <si>
    <t>Tarieven 2027: MYR 2.120 (groep) / 2.855 (solo) / 3.695 (standard lodge). Maanden vooruit boeken.</t>
  </si>
  <si>
    <t>Bootexpeditie El Nido–Coron</t>
  </si>
  <si>
    <t>3D2N joiner ±$308; Tao Philippines $650-895 (Comfort). Budget = lokale operator (geschat).</t>
  </si>
  <si>
    <t>Island hopping-tours (El Nido, Coron, Bohol)</t>
  </si>
  <si>
    <t>El Nido Tour A ₱1.200-1.500 + eco-fee ₱200-400; Bohol niet gevonden.</t>
  </si>
  <si>
    <t>Duikcursus (Open Water) of fun dives</t>
  </si>
  <si>
    <t>e-VoA + verlenging (49 dagen)</t>
  </si>
  <si>
    <t>IDR 500k + 500k verlenging. Voorstel aug 2026: e-VoA IDR 750k / 1M on arrival (onbevestigd → Comfort).</t>
  </si>
  <si>
    <t>Bukit Lawang jungletrek (2D)</t>
  </si>
  <si>
    <t>Direct IDR 1,92 mln; Expedia $138-179.</t>
  </si>
  <si>
    <t>Bunaken parkfee + snorkeltrips</t>
  </si>
  <si>
    <t>Togean-boten</t>
  </si>
  <si>
    <t>Komodo bootreis (2D1N-3D2N)</t>
  </si>
  <si>
    <t>Parkfee IDR 500-650k (check of die inbegrepen is); gedeelde-bootprijzen niet zichtbaar.</t>
  </si>
  <si>
    <t>Raja Ampat (parkfee + vluchten + homestays meerprijs)</t>
  </si>
  <si>
    <t>Parkfee IDR 700k + entree IDR 1M gecheckt; vluchten/homestays niet. Oranje reisadvies (2026-10).</t>
  </si>
  <si>
    <t>Rinjani trek (Lombok)</t>
  </si>
  <si>
    <t>Vervoer naar Jaco Island (bus+boot of 4x4 gedeeld)</t>
  </si>
  <si>
    <t>Bus ±$25 retour + boot $10-20; 4x4-prijs niet gevonden.</t>
  </si>
  <si>
    <t>Totaal meegenomen (excl. prijsstijging)</t>
  </si>
  <si>
    <t>Vooraf &amp; vaste lasten — kosten die niet aan een land hangen (per persoon)</t>
  </si>
  <si>
    <t>Post</t>
  </si>
  <si>
    <t>Toelichting</t>
  </si>
  <si>
    <t>Verzekering</t>
  </si>
  <si>
    <t>Wereldreisverzekering (±10 mnd, incl. medische kosten)</t>
  </si>
  <si>
    <t>Deels gecheckt (HelloSafe: 12 mnd wereldreis €700-1.200; Azië €2-5/dag). Vraag echte offertes aan. Gewone doorlopende verzekering dekt max 60-180 dagen (ANWB 60, Univé 180).</t>
  </si>
  <si>
    <t>Gezondheid</t>
  </si>
  <si>
    <t>Vaccinaties + consult (GGD)</t>
  </si>
  <si>
    <t>Gecheckt GGD Flevoland 2026: consult €29,50 · hepatitis A (2x) €68 · buiktyfus €45 · DTP €33 · Japanse encefalitis €160 (check: per prik of hele serie) · rabiës (2x) €95. Deels vergoed via aanvullende verzekering.</t>
  </si>
  <si>
    <t>Malariamiddel (stand-by/profylaxe) + reisapotheek</t>
  </si>
  <si>
    <t>Schatting. Malaria-risico vooral in oost-Indonesië, Papua, grensgebieden Cambodja/Laos.</t>
  </si>
  <si>
    <t>Uitrusting</t>
  </si>
  <si>
    <t>Rugzak, kleding (ook warm voor Mongolië/Japan), regenjas, klamboe, adapter</t>
  </si>
  <si>
    <t>Schatting; deels heb je dit al.</t>
  </si>
  <si>
    <t>Communicatie</t>
  </si>
  <si>
    <t>eSIM / lokale simkaarten (±10 mnd)</t>
  </si>
  <si>
    <t>Deels gecheckt: Airalo Azië ±€32 per 10 GB/30 dagen; lokale simkaarten €5-10/mnd. China: roaming-eSIM nodig.</t>
  </si>
  <si>
    <t>Documenten</t>
  </si>
  <si>
    <t>Internationaal rijbewijs + evt. paspoort vernieuwen</t>
  </si>
  <si>
    <t>Paspoort moet ≥6 mnd geldig zijn bij terugkomst en genoeg lege pagina's hebben (15 landen = veel stempels).</t>
  </si>
  <si>
    <t>Subtotaal vooraf</t>
  </si>
  <si>
    <t>Vaste lasten thuis (€ per maand — vul zelf in, gele cellen)</t>
  </si>
  <si>
    <t>Zorgverzekering NL</t>
  </si>
  <si>
    <t>Blijf je ingeschreven in NL? Dan blijft de zorgverzekering verplicht (±€150/mnd). Ben je &gt;8 maanden weg binnen 12 maanden, dan moet je je uitschrijven bij de gemeente → zorgverzekering stopt, en heb je een internationale ziektekostenverzekering nodig.</t>
  </si>
  <si>
    <t>Huur / hypotheek / onderhuur (netto)</t>
  </si>
  <si>
    <t>Opzeggen, onderverhuren (mag dat?) of doorbetalen.</t>
  </si>
  <si>
    <t>Opslag spullen</t>
  </si>
  <si>
    <t>Self-storage ±€50-120/mnd, of gratis bij familie.</t>
  </si>
  <si>
    <t>Telefoonabonnement / abonnementen / streaming</t>
  </si>
  <si>
    <t>Opzeggen of pauzeren waar het kan.</t>
  </si>
  <si>
    <t>Auto (verzekering, wegenbelasting) / overig</t>
  </si>
  <si>
    <t>Schorsen bij RDW scheelt wegenbelasting + verzekering.</t>
  </si>
  <si>
    <t>Per maand</t>
  </si>
  <si>
    <t>× maanden (Instellingen)</t>
  </si>
  <si>
    <t>Waar moet je nog meer aan denken?</t>
  </si>
  <si>
    <t>FACTOREN DIE HET BUDGET BEPALEN</t>
  </si>
  <si>
    <t>Reisstijl</t>
  </si>
  <si>
    <t>Slaapzaal vs. privékamer is de grootste knop: verblijf is 30-45% van je dagbudget.</t>
  </si>
  <si>
    <t>Alleen of samen</t>
  </si>
  <si>
    <t>Samen een kamer delen scheelt ±35-40% op verblijf per persoon (Instellingen → accommodatie-factor).</t>
  </si>
  <si>
    <t>Landenmix</t>
  </si>
  <si>
    <t>Japan, Singapore, Brunei en Korea zijn 2-3x zo duur als Vietnam/Laos/Indonesië. Een week Japan meer of minder ≈ €1.000.</t>
  </si>
  <si>
    <t>Tempo</t>
  </si>
  <si>
    <t>Elke verplaatsing kost geld (vervoer + vaak een duurdere eerste nacht). Langzamer reizen = goedkoper per dag.</t>
  </si>
  <si>
    <t>Seizoen &amp; feestdagen</t>
  </si>
  <si>
    <t>Golden Week China (1-7 okt), Japans herfstseizoen, Chinees Nieuwjaar/Tết (eind jan 2028), kerst/nieuwjaar in Thailand → hogere prijzen, eerder boeken.</t>
  </si>
  <si>
    <t>Wisselkoersen</t>
  </si>
  <si>
    <t>Yen, yuan en dollar bewegen. 10% duurdere yen = ±€450 meer in Japan.</t>
  </si>
  <si>
    <t>Prijsstijging</t>
  </si>
  <si>
    <t>Route-prijzen zijn van 2026; reis is in 2027-28.</t>
  </si>
  <si>
    <t>Activiteiten</t>
  </si>
  <si>
    <t>Duiken, trekkings, boottochten en nationale parken maken het verschil tussen €40 en €70 per dag in ZO-Azië.</t>
  </si>
  <si>
    <t>Alcohol &amp; westers eten</t>
  </si>
  <si>
    <t>Een paar biertjes per dag kan in Thailand/Filipijnen het eetbudget verdubbelen.</t>
  </si>
  <si>
    <t>PRAKTISCH &amp; ADMINISTRATIEF (NL)</t>
  </si>
  <si>
    <t>Uitschrijven gemeente (BRP)</t>
  </si>
  <si>
    <t>Ben je &gt;8 maanden weg binnen 12 maanden, dan moet je je uitschrijven. Gevolgen: zorgverzekering stopt, je bouwt geen AOW op (vrijwillig bijverzekeren bij SVB kan), toeslagen stoppen, en je doet aangifte met het M-formulier. 290 dagen = ±9,5 maand → dit geldt waarschijnlijk voor jou!</t>
  </si>
  <si>
    <t>Werk</t>
  </si>
  <si>
    <t>Sabbatical / onbetaald verlof / ontslag? Pensioenopbouw en WW-rechten checken.</t>
  </si>
  <si>
    <t>Reisverzekering</t>
  </si>
  <si>
    <t>Gewone doorlopende reisverzekering dekt vaak maar 60-180 dagen aaneengesloten. Check ook dekking voor brommer/scooter (rijbewijs A vereist!), duiken en landen met oranje reisadvies.</t>
  </si>
  <si>
    <t>Geld &amp; bankpassen</t>
  </si>
  <si>
    <t>Minstens 2 passen van verschillende banken + Wise/Revolut, aparte noodpot. Wereldpas aanzetten. Creditcard voor vluchten/hotels.</t>
  </si>
  <si>
    <t>Noodfonds na terugkomst</t>
  </si>
  <si>
    <t>Reken op 2-3 maanden vaste lasten als buffer voor als je terug bent (geen inkomen, huur, nieuwe start).</t>
  </si>
  <si>
    <t>Paspoort-geldigheid en lege pagina's, digitale kopieën, internationaal rijbewijs, visumregels vlak voor vertrek opnieuw checken (China-, Mongolië- en Korea-regelingen lopen nu af eind 2026).</t>
  </si>
  <si>
    <t>Tandarts-check vooraf, voorraad medicijnen voor 10 maanden (verklaring arts), lenzen/bril reserve.</t>
  </si>
  <si>
    <t>Reisadviezen</t>
  </si>
  <si>
    <t>Raja Ampat en de eilanden bij Sabah (Semporna/Sipadan) hadden oranje reisadvies — verzekering dekt daar mogelijk niet.</t>
  </si>
  <si>
    <t>Spullen thuis</t>
  </si>
  <si>
    <t>Huur opzeggen/onderverhuren, opslag, post doorsturen, auto schorsen bij RDW, abonnementen pauzeren.</t>
  </si>
  <si>
    <t>DE REIS ZELF</t>
  </si>
  <si>
    <t>Duur</t>
  </si>
  <si>
    <t>Deze route is 290 dagen (±9,5 mnd). Voor een volledig jaar: 2 maanden langer in favoriete landen, of ruimte voor Nepal/India/Sri Lanka (Zuid-Azië) — zie 'India &amp; Himalaya Expedition 🏔️' in YourAtlas.</t>
  </si>
  <si>
    <t>Rustdagen</t>
  </si>
  <si>
    <t>Plan bewust 'niets'-dagen en een paar dagen extra per regio voor ziekte/vertraging — die zitten nu niet in de 290 dagen.</t>
  </si>
  <si>
    <t>Bezoek uit NL</t>
  </si>
  <si>
    <t>Komt er familie/partner langs? Dan vaak een duurder stuk (hotel, comfortniveau).</t>
  </si>
  <si>
    <t>Vervangen/kapot</t>
  </si>
  <si>
    <t>Telefoon, schoenen, rugzak gaan in 10 maanden vaak kapot — de buffer is hiervoor.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</si>
</sst>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d\-mm\-yyyy"/>
    <numFmt numFmtId="166" formatCode="0.00\x"/>
    <numFmt numFmtId="167" formatCode="0.0%"/>
    <numFmt numFmtId="168" formatCode="\€\ #,##0;\(\€\ #,##0\);\-"/>
  </numFmts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55555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b/>
      <sz val="10"/>
      <color rgb="FFFFFFFF"/>
      <name val="Arial"/>
    </font>
    <font>
      <sz val="10"/>
      <color rgb="FF008000"/>
      <name val="Arial"/>
    </font>
    <font>
      <b/>
      <sz val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F00"/>
      </patternFill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/>
    <xf numFmtId="0" fontId="4" fillId="0" borderId="0" xfId="0" applyFont="1" applyAlignment="1">
      <alignment vertical="top" wrapText="1"/>
    </xf>
    <xf numFmtId="0" fontId="6" fillId="4" borderId="1" xfId="0" applyFont="1" applyFill="1" applyBorder="1"/>
    <xf numFmtId="0" fontId="4" fillId="0" borderId="0" xfId="0" applyFont="1"/>
    <xf numFmtId="168" fontId="7" fillId="0" borderId="0" xfId="0" applyNumberFormat="1" applyFont="1"/>
    <xf numFmtId="168" fontId="7" fillId="5" borderId="0" xfId="0" applyNumberFormat="1" applyFont="1" applyFill="1"/>
    <xf numFmtId="168" fontId="4" fillId="0" borderId="0" xfId="0" applyNumberFormat="1" applyFont="1"/>
    <xf numFmtId="168" fontId="3" fillId="2" borderId="0" xfId="0" applyNumberFormat="1" applyFont="1" applyFill="1"/>
    <xf numFmtId="0" fontId="8" fillId="6" borderId="0" xfId="0" applyFont="1" applyFill="1"/>
    <xf numFmtId="168" fontId="8" fillId="6" borderId="0" xfId="0" applyNumberFormat="1" applyFont="1" applyFill="1"/>
    <xf numFmtId="1" fontId="7" fillId="0" borderId="0" xfId="0" applyNumberFormat="1" applyFont="1"/>
    <xf numFmtId="168" fontId="3" fillId="0" borderId="0" xfId="0" applyNumberFormat="1" applyFont="1"/>
    <xf numFmtId="167" fontId="3" fillId="0" borderId="0" xfId="0" applyNumberFormat="1" applyFont="1"/>
    <xf numFmtId="165" fontId="5" fillId="3" borderId="0" xfId="0" applyNumberFormat="1" applyFont="1" applyFill="1"/>
    <xf numFmtId="166" fontId="5" fillId="3" borderId="0" xfId="0" applyNumberFormat="1" applyFont="1" applyFill="1"/>
    <xf numFmtId="167" fontId="5" fillId="3" borderId="0" xfId="0" applyNumberFormat="1" applyFont="1" applyFill="1"/>
    <xf numFmtId="1" fontId="7" fillId="3" borderId="0" xfId="0" applyNumberFormat="1" applyFont="1" applyFill="1"/>
    <xf numFmtId="166" fontId="5" fillId="0" borderId="0" xfId="0" applyNumberFormat="1" applyFont="1"/>
    <xf numFmtId="0" fontId="6" fillId="4" borderId="1" xfId="0" applyFont="1" applyFill="1" applyBorder="1" applyAlignment="1">
      <alignment horizontal="center" vertical="center" wrapText="1"/>
    </xf>
    <xf numFmtId="1" fontId="5" fillId="0" borderId="0" xfId="0" applyNumberFormat="1" applyFont="1"/>
    <xf numFmtId="165" fontId="7" fillId="0" borderId="0" xfId="0" applyNumberFormat="1" applyFont="1"/>
    <xf numFmtId="165" fontId="4" fillId="0" borderId="0" xfId="0" applyNumberFormat="1" applyFont="1"/>
    <xf numFmtId="168" fontId="5" fillId="0" borderId="0" xfId="0" applyNumberFormat="1" applyFont="1"/>
    <xf numFmtId="168" fontId="5" fillId="5" borderId="0" xfId="0" applyNumberFormat="1" applyFont="1" applyFill="1"/>
    <xf numFmtId="0" fontId="3" fillId="6" borderId="0" xfId="0" applyFont="1" applyFill="1"/>
    <xf numFmtId="1" fontId="3" fillId="6" borderId="0" xfId="0" applyNumberFormat="1" applyFont="1" applyFill="1"/>
    <xf numFmtId="165" fontId="3" fillId="6" borderId="0" xfId="0" applyNumberFormat="1" applyFont="1" applyFill="1"/>
    <xf numFmtId="168" fontId="3" fillId="6" borderId="0" xfId="0" applyNumberFormat="1" applyFont="1" applyFill="1"/>
    <xf numFmtId="0" fontId="5" fillId="0" borderId="0" xfId="0" applyFont="1"/>
    <xf numFmtId="0" fontId="5" fillId="3" borderId="0" xfId="0" applyFont="1" applyFill="1"/>
    <xf numFmtId="168" fontId="5" fillId="3" borderId="0" xfId="0" applyNumberFormat="1" applyFont="1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10"/>
  <c:chart>
    <c:title>
      <c:tx>
        <c:rich>
          <a:bodyPr/>
          <a:lstStyle/>
          <a:p>
            <a:pPr>
              <a:defRPr/>
            </a:pPr>
            <a:r>
              <a:t>Kosten per regio (€ p.p.)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Overzicht!$B$26</c:f>
              <c:strCache>
                <c:ptCount val="1"/>
                <c:pt idx="0">
                  <c:v>Budget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Overzicht!$A$27:$A$33</c:f>
              <c:strCache>
                <c:ptCount val="7"/>
                <c:pt idx="0">
                  <c:v>Mongolië &amp; China</c:v>
                </c:pt>
                <c:pt idx="1">
                  <c:v>Korea &amp; Japan</c:v>
                </c:pt>
                <c:pt idx="2">
                  <c:v>Taiwan</c:v>
                </c:pt>
                <c:pt idx="3">
                  <c:v>Vasteland Zuidoost-Azië</c:v>
                </c:pt>
                <c:pt idx="4">
                  <c:v>Maleisië, Borneo &amp; Filipijnen</c:v>
                </c:pt>
                <c:pt idx="5">
                  <c:v>Indonesië &amp; Oost-Timor</c:v>
                </c:pt>
                <c:pt idx="6">
                  <c:v>Singapore</c:v>
                </c:pt>
              </c:strCache>
            </c:strRef>
          </c:cat>
          <c:val>
            <c:numRef>
              <c:f>Overzicht!$B$27:$B$33</c:f>
              <c:numCache>
                <c:formatCode>\€\ #,##0;\(\€\ #,##0\);\-</c:formatCode>
                <c:ptCount val="7"/>
                <c:pt idx="0">
                  <c:v>3714.308</c:v>
                </c:pt>
                <c:pt idx="1">
                  <c:v>3962.712</c:v>
                </c:pt>
                <c:pt idx="2">
                  <c:v>888.16000000000008</c:v>
                </c:pt>
                <c:pt idx="3">
                  <c:v>3441.6719999999996</c:v>
                </c:pt>
                <c:pt idx="4">
                  <c:v>2893.1240000000003</c:v>
                </c:pt>
                <c:pt idx="5">
                  <c:v>2917.616</c:v>
                </c:pt>
                <c:pt idx="6">
                  <c:v>324.48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9-4415-9BDE-403C1FAEB549}"/>
            </c:ext>
          </c:extLst>
        </c:ser>
        <c:ser>
          <c:idx val="1"/>
          <c:order val="1"/>
          <c:tx>
            <c:strRef>
              <c:f>Overzicht!$C$26</c:f>
              <c:strCache>
                <c:ptCount val="1"/>
                <c:pt idx="0">
                  <c:v>Basis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Overzicht!$A$27:$A$33</c:f>
              <c:strCache>
                <c:ptCount val="7"/>
                <c:pt idx="0">
                  <c:v>Mongolië &amp; China</c:v>
                </c:pt>
                <c:pt idx="1">
                  <c:v>Korea &amp; Japan</c:v>
                </c:pt>
                <c:pt idx="2">
                  <c:v>Taiwan</c:v>
                </c:pt>
                <c:pt idx="3">
                  <c:v>Vasteland Zuidoost-Azië</c:v>
                </c:pt>
                <c:pt idx="4">
                  <c:v>Maleisië, Borneo &amp; Filipijnen</c:v>
                </c:pt>
                <c:pt idx="5">
                  <c:v>Indonesië &amp; Oost-Timor</c:v>
                </c:pt>
                <c:pt idx="6">
                  <c:v>Singapore</c:v>
                </c:pt>
              </c:strCache>
            </c:strRef>
          </c:cat>
          <c:val>
            <c:numRef>
              <c:f>Overzicht!$C$27:$C$33</c:f>
              <c:numCache>
                <c:formatCode>\€\ #,##0;\(\€\ #,##0\);\-</c:formatCode>
                <c:ptCount val="7"/>
                <c:pt idx="0">
                  <c:v>5345.6</c:v>
                </c:pt>
                <c:pt idx="1">
                  <c:v>6080.8799999999992</c:v>
                </c:pt>
                <c:pt idx="2">
                  <c:v>1327.04</c:v>
                </c:pt>
                <c:pt idx="3">
                  <c:v>5052.32</c:v>
                </c:pt>
                <c:pt idx="4">
                  <c:v>4347.2000000000007</c:v>
                </c:pt>
                <c:pt idx="5">
                  <c:v>4292.0800000000008</c:v>
                </c:pt>
                <c:pt idx="6">
                  <c:v>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29-4415-9BDE-403C1FAEB549}"/>
            </c:ext>
          </c:extLst>
        </c:ser>
        <c:ser>
          <c:idx val="2"/>
          <c:order val="2"/>
          <c:tx>
            <c:strRef>
              <c:f>Overzicht!$D$26</c:f>
              <c:strCache>
                <c:ptCount val="1"/>
                <c:pt idx="0">
                  <c:v>Comfort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Overzicht!$A$27:$A$33</c:f>
              <c:strCache>
                <c:ptCount val="7"/>
                <c:pt idx="0">
                  <c:v>Mongolië &amp; China</c:v>
                </c:pt>
                <c:pt idx="1">
                  <c:v>Korea &amp; Japan</c:v>
                </c:pt>
                <c:pt idx="2">
                  <c:v>Taiwan</c:v>
                </c:pt>
                <c:pt idx="3">
                  <c:v>Vasteland Zuidoost-Azië</c:v>
                </c:pt>
                <c:pt idx="4">
                  <c:v>Maleisië, Borneo &amp; Filipijnen</c:v>
                </c:pt>
                <c:pt idx="5">
                  <c:v>Indonesië &amp; Oost-Timor</c:v>
                </c:pt>
                <c:pt idx="6">
                  <c:v>Singapore</c:v>
                </c:pt>
              </c:strCache>
            </c:strRef>
          </c:cat>
          <c:val>
            <c:numRef>
              <c:f>Overzicht!$D$27:$D$33</c:f>
              <c:numCache>
                <c:formatCode>\€\ #,##0;\(\€\ #,##0\);\-</c:formatCode>
                <c:ptCount val="7"/>
                <c:pt idx="0">
                  <c:v>8525.4</c:v>
                </c:pt>
                <c:pt idx="1">
                  <c:v>10260.119999999999</c:v>
                </c:pt>
                <c:pt idx="2">
                  <c:v>2210</c:v>
                </c:pt>
                <c:pt idx="3">
                  <c:v>8131.76</c:v>
                </c:pt>
                <c:pt idx="4">
                  <c:v>7468.24</c:v>
                </c:pt>
                <c:pt idx="5">
                  <c:v>6839.04</c:v>
                </c:pt>
                <c:pt idx="6">
                  <c:v>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29-4415-9BDE-403C1FAEB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€</a:t>
                </a:r>
              </a:p>
            </c:rich>
          </c:tx>
          <c:overlay val="1"/>
        </c:title>
        <c:numFmt formatCode="\€\ #,##0;\(\€\ 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/>
  </sheetViews>
  <sheetFormatPr defaultRowHeight="14.4" x14ac:dyDescent="0.3"/>
  <cols>
    <col min="1" max="1" width="4" customWidth="1"/>
    <col min="2" max="2" width="120" customWidth="1"/>
  </cols>
  <sheetData>
    <row r="1" spans="1:2" ht="17.399999999999999" x14ac:dyDescent="0.3">
      <c r="B1" s="1" t="s">
        <v>0</v>
      </c>
    </row>
    <row r="2" spans="1:2" x14ac:dyDescent="0.3">
      <c r="B2" s="2" t="s">
        <v>1</v>
      </c>
    </row>
    <row r="4" spans="1:2" x14ac:dyDescent="0.3">
      <c r="B4" s="3" t="s">
        <v>2</v>
      </c>
    </row>
    <row r="5" spans="1:2" x14ac:dyDescent="0.3">
      <c r="A5" s="4" t="s">
        <v>3</v>
      </c>
      <c r="B5" s="5" t="s">
        <v>4</v>
      </c>
    </row>
    <row r="6" spans="1:2" x14ac:dyDescent="0.3">
      <c r="A6" s="4" t="s">
        <v>5</v>
      </c>
      <c r="B6" s="5" t="s">
        <v>6</v>
      </c>
    </row>
    <row r="7" spans="1:2" x14ac:dyDescent="0.3">
      <c r="A7" s="4" t="s">
        <v>7</v>
      </c>
      <c r="B7" s="5" t="s">
        <v>8</v>
      </c>
    </row>
    <row r="8" spans="1:2" x14ac:dyDescent="0.3">
      <c r="A8" s="4" t="s">
        <v>9</v>
      </c>
      <c r="B8" s="5" t="s">
        <v>10</v>
      </c>
    </row>
    <row r="9" spans="1:2" x14ac:dyDescent="0.3">
      <c r="A9" s="4" t="s">
        <v>11</v>
      </c>
      <c r="B9" s="5" t="s">
        <v>12</v>
      </c>
    </row>
    <row r="10" spans="1:2" ht="26.4" x14ac:dyDescent="0.3">
      <c r="A10" s="4" t="s">
        <v>13</v>
      </c>
      <c r="B10" s="5" t="s">
        <v>14</v>
      </c>
    </row>
    <row r="11" spans="1:2" x14ac:dyDescent="0.3">
      <c r="B11" s="4"/>
    </row>
    <row r="12" spans="1:2" x14ac:dyDescent="0.3">
      <c r="B12" s="3" t="s">
        <v>15</v>
      </c>
    </row>
    <row r="13" spans="1:2" ht="26.4" x14ac:dyDescent="0.3">
      <c r="A13" s="4"/>
      <c r="B13" s="5" t="s">
        <v>16</v>
      </c>
    </row>
    <row r="14" spans="1:2" x14ac:dyDescent="0.3">
      <c r="B14" s="4"/>
    </row>
    <row r="15" spans="1:2" x14ac:dyDescent="0.3">
      <c r="B15" s="3" t="s">
        <v>17</v>
      </c>
    </row>
    <row r="16" spans="1:2" ht="39.6" x14ac:dyDescent="0.3">
      <c r="A16" s="4"/>
      <c r="B16" s="5" t="s">
        <v>18</v>
      </c>
    </row>
    <row r="17" spans="1:2" x14ac:dyDescent="0.3">
      <c r="A17" s="4"/>
      <c r="B17" s="5" t="s">
        <v>19</v>
      </c>
    </row>
    <row r="18" spans="1:2" x14ac:dyDescent="0.3">
      <c r="B18" s="4"/>
    </row>
    <row r="19" spans="1:2" x14ac:dyDescent="0.3">
      <c r="B19" s="3" t="s">
        <v>20</v>
      </c>
    </row>
    <row r="20" spans="1:2" ht="26.4" x14ac:dyDescent="0.3">
      <c r="A20" s="4"/>
      <c r="B20" s="5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workbookViewId="0"/>
  </sheetViews>
  <sheetFormatPr defaultRowHeight="14.4" x14ac:dyDescent="0.3"/>
  <cols>
    <col min="1" max="1" width="52" customWidth="1"/>
    <col min="2" max="5" width="15" customWidth="1"/>
    <col min="6" max="6" width="70" customWidth="1"/>
  </cols>
  <sheetData>
    <row r="1" spans="1:6" ht="17.399999999999999" x14ac:dyDescent="0.3">
      <c r="A1" s="1" t="s">
        <v>22</v>
      </c>
    </row>
    <row r="2" spans="1:6" x14ac:dyDescent="0.3">
      <c r="A2" s="2" t="s">
        <v>23</v>
      </c>
    </row>
    <row r="4" spans="1:6" x14ac:dyDescent="0.3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</row>
    <row r="5" spans="1:6" x14ac:dyDescent="0.3">
      <c r="A5" s="7" t="s">
        <v>30</v>
      </c>
      <c r="B5" s="8">
        <f>'Per land'!N22</f>
        <v>12650.871999999998</v>
      </c>
      <c r="C5" s="8">
        <f>'Per land'!O22</f>
        <v>19443.84</v>
      </c>
      <c r="D5" s="8">
        <f>'Per land'!P22</f>
        <v>32731.919999999998</v>
      </c>
      <c r="E5" s="9">
        <f>'Per land'!AD22</f>
        <v>0</v>
      </c>
      <c r="F5" s="2" t="s">
        <v>31</v>
      </c>
    </row>
    <row r="6" spans="1:6" x14ac:dyDescent="0.3">
      <c r="A6" s="7" t="s">
        <v>32</v>
      </c>
      <c r="B6" s="8">
        <f>SUMIFS(Vervoer!F:F,Vervoer!$D:$D,"Binnenlands")*Instellingen!$B$6</f>
        <v>1991.6000000000001</v>
      </c>
      <c r="C6" s="8">
        <f>SUMIFS(Vervoer!G:G,Vervoer!$D:$D,"Binnenlands")*Instellingen!$B$6</f>
        <v>2691.52</v>
      </c>
      <c r="D6" s="8">
        <f>SUMIFS(Vervoer!H:H,Vervoer!$D:$D,"Binnenlands")*Instellingen!$B$6</f>
        <v>3983.2000000000003</v>
      </c>
      <c r="E6" s="9">
        <f>SUMIFS(Vervoer!J:J,Vervoer!$D:$D,"Binnenlands")</f>
        <v>0</v>
      </c>
      <c r="F6" s="2" t="s">
        <v>33</v>
      </c>
    </row>
    <row r="7" spans="1:6" x14ac:dyDescent="0.3">
      <c r="A7" s="7" t="s">
        <v>34</v>
      </c>
      <c r="B7" s="8">
        <f>SUMIFS(Vervoer!F:F,Vervoer!$D:$D,"Tussen landen")*Instellingen!$B$6</f>
        <v>1196</v>
      </c>
      <c r="C7" s="8">
        <f>SUMIFS(Vervoer!G:G,Vervoer!$D:$D,"Tussen landen")*Instellingen!$B$6</f>
        <v>1589.1200000000001</v>
      </c>
      <c r="D7" s="8">
        <f>SUMIFS(Vervoer!H:H,Vervoer!$D:$D,"Tussen landen")*Instellingen!$B$6</f>
        <v>2371.2000000000003</v>
      </c>
      <c r="E7" s="9">
        <f>SUMIFS(Vervoer!J:J,Vervoer!$D:$D,"Tussen landen")</f>
        <v>0</v>
      </c>
      <c r="F7" s="2" t="s">
        <v>35</v>
      </c>
    </row>
    <row r="8" spans="1:6" x14ac:dyDescent="0.3">
      <c r="A8" s="7" t="s">
        <v>36</v>
      </c>
      <c r="B8" s="8">
        <f>SUMIFS(Vervoer!F:F,Vervoer!$D:$D,"Internationaal")*Instellingen!$B$6</f>
        <v>832</v>
      </c>
      <c r="C8" s="8">
        <f>SUMIFS(Vervoer!G:G,Vervoer!$D:$D,"Internationaal")*Instellingen!$B$6</f>
        <v>1071.2</v>
      </c>
      <c r="D8" s="8">
        <f>SUMIFS(Vervoer!H:H,Vervoer!$D:$D,"Internationaal")*Instellingen!$B$6</f>
        <v>1508</v>
      </c>
      <c r="E8" s="9">
        <f>SUMIFS(Vervoer!J:J,Vervoer!$D:$D,"Internationaal")</f>
        <v>0</v>
      </c>
      <c r="F8" s="2" t="s">
        <v>37</v>
      </c>
    </row>
    <row r="9" spans="1:6" x14ac:dyDescent="0.3">
      <c r="A9" s="7" t="s">
        <v>38</v>
      </c>
      <c r="B9" s="8">
        <f>SUMIFS('Extra''s'!F:F,'Extra''s'!$E:$E,"Ja",'Extra''s'!$C:$C,"&lt;&gt;Visum")*Instellingen!$B$6</f>
        <v>2059.2000000000003</v>
      </c>
      <c r="C9" s="8">
        <f>SUMIFS('Extra''s'!G:G,'Extra''s'!$E:$E,"Ja",'Extra''s'!$C:$C,"&lt;&gt;Visum")*Instellingen!$B$6</f>
        <v>2961.92</v>
      </c>
      <c r="D9" s="8">
        <f>SUMIFS('Extra''s'!H:H,'Extra''s'!$E:$E,"Ja",'Extra''s'!$C:$C,"&lt;&gt;Visum")*Instellingen!$B$6</f>
        <v>4859.92</v>
      </c>
      <c r="E9" s="9">
        <f>SUMIFS('Extra''s'!J:J,'Extra''s'!$C:$C,"&lt;&gt;Visum",'Extra''s'!$C:$C,"&lt;&gt;")</f>
        <v>0</v>
      </c>
      <c r="F9" s="2" t="s">
        <v>39</v>
      </c>
    </row>
    <row r="10" spans="1:6" x14ac:dyDescent="0.3">
      <c r="A10" s="7" t="s">
        <v>40</v>
      </c>
      <c r="B10" s="8">
        <f>SUMIFS('Extra''s'!F:F,'Extra''s'!$E:$E,"Ja",'Extra''s'!$C:$C,"Visum")*Instellingen!$B$6</f>
        <v>244.4</v>
      </c>
      <c r="C10" s="8">
        <f>SUMIFS('Extra''s'!G:G,'Extra''s'!$E:$E,"Ja",'Extra''s'!$C:$C,"Visum")*Instellingen!$B$6</f>
        <v>278.72000000000003</v>
      </c>
      <c r="D10" s="8">
        <f>SUMIFS('Extra''s'!H:H,'Extra''s'!$E:$E,"Ja",'Extra''s'!$C:$C,"Visum")*Instellingen!$B$6</f>
        <v>372.32</v>
      </c>
      <c r="E10" s="9">
        <f>SUMIFS('Extra''s'!J:J,'Extra''s'!$C:$C,"Visum")</f>
        <v>0</v>
      </c>
      <c r="F10" s="2" t="s">
        <v>41</v>
      </c>
    </row>
    <row r="11" spans="1:6" x14ac:dyDescent="0.3">
      <c r="A11" s="7" t="s">
        <v>42</v>
      </c>
      <c r="B11" s="8">
        <f>'Vooraf &amp; vast'!C10</f>
        <v>1600</v>
      </c>
      <c r="C11" s="8">
        <f>'Vooraf &amp; vast'!D10</f>
        <v>2340</v>
      </c>
      <c r="D11" s="8">
        <f>'Vooraf &amp; vast'!E10</f>
        <v>3770</v>
      </c>
      <c r="E11" s="9">
        <f>'Vooraf &amp; vast'!G10</f>
        <v>0</v>
      </c>
      <c r="F11" s="2"/>
    </row>
    <row r="12" spans="1:6" x14ac:dyDescent="0.3">
      <c r="A12" s="7" t="s">
        <v>43</v>
      </c>
      <c r="B12" s="8">
        <f>'Vooraf &amp; vast'!C19</f>
        <v>0</v>
      </c>
      <c r="C12" s="8">
        <f>'Vooraf &amp; vast'!D19</f>
        <v>0</v>
      </c>
      <c r="D12" s="8">
        <f>'Vooraf &amp; vast'!E19</f>
        <v>0</v>
      </c>
      <c r="E12" s="9">
        <f>'Vooraf &amp; vast'!D19</f>
        <v>0</v>
      </c>
      <c r="F12" s="2" t="s">
        <v>44</v>
      </c>
    </row>
    <row r="13" spans="1:6" x14ac:dyDescent="0.3">
      <c r="A13" s="7" t="s">
        <v>45</v>
      </c>
      <c r="B13" s="10">
        <f>SUM(B5:B6,B9)*Instellingen!$B$9</f>
        <v>250.52507999999997</v>
      </c>
      <c r="C13" s="10">
        <f>SUM(C5:C6,C9)*Instellingen!$B$9</f>
        <v>376.45919999999995</v>
      </c>
      <c r="D13" s="10">
        <f>SUM(D5:D6,D9)*Instellingen!$B$9</f>
        <v>623.62559999999985</v>
      </c>
      <c r="F13" s="2" t="s">
        <v>46</v>
      </c>
    </row>
    <row r="14" spans="1:6" x14ac:dyDescent="0.3">
      <c r="A14" s="3" t="s">
        <v>47</v>
      </c>
      <c r="B14" s="11">
        <f>SUM(B5:B13)</f>
        <v>20824.59708</v>
      </c>
      <c r="C14" s="11">
        <f>SUM(C5:C13)</f>
        <v>30752.779200000001</v>
      </c>
      <c r="D14" s="11">
        <f>SUM(D5:D13)</f>
        <v>50220.18559999999</v>
      </c>
      <c r="E14" s="11">
        <f>SUM(E5:E13)</f>
        <v>0</v>
      </c>
    </row>
    <row r="15" spans="1:6" x14ac:dyDescent="0.3">
      <c r="A15" s="7" t="s">
        <v>48</v>
      </c>
      <c r="B15" s="10">
        <f>SUM(B5:B10)*Instellingen!$B$8</f>
        <v>1897.4072000000001</v>
      </c>
      <c r="C15" s="10">
        <f>SUM(C5:C10)*Instellingen!$B$8</f>
        <v>2803.6320000000001</v>
      </c>
      <c r="D15" s="10">
        <f>SUM(D5:D10)*Instellingen!$B$8</f>
        <v>4582.655999999999</v>
      </c>
      <c r="F15" s="2" t="s">
        <v>49</v>
      </c>
    </row>
    <row r="16" spans="1:6" ht="15.6" x14ac:dyDescent="0.3">
      <c r="A16" s="12" t="s">
        <v>50</v>
      </c>
      <c r="B16" s="13">
        <f>B14+B15</f>
        <v>22722.004280000001</v>
      </c>
      <c r="C16" s="13">
        <f>C14+C15</f>
        <v>33556.411200000002</v>
      </c>
      <c r="D16" s="13">
        <f>D14+D15</f>
        <v>54802.841599999985</v>
      </c>
      <c r="E16" s="13">
        <f>E14</f>
        <v>0</v>
      </c>
    </row>
    <row r="18" spans="1:6" x14ac:dyDescent="0.3">
      <c r="A18" s="3" t="s">
        <v>51</v>
      </c>
    </row>
    <row r="19" spans="1:6" x14ac:dyDescent="0.3">
      <c r="A19" s="7" t="s">
        <v>52</v>
      </c>
      <c r="B19" s="14">
        <f>'Per land'!D22</f>
        <v>290</v>
      </c>
    </row>
    <row r="20" spans="1:6" x14ac:dyDescent="0.3">
      <c r="A20" s="7" t="s">
        <v>53</v>
      </c>
      <c r="B20" s="10">
        <f>IF($B$19&gt;0,B16/$B$19,0)</f>
        <v>78.351738896551723</v>
      </c>
      <c r="C20" s="10">
        <f>IF($B$19&gt;0,C16/$B$19,0)</f>
        <v>115.71176275862069</v>
      </c>
      <c r="D20" s="10">
        <f>IF($B$19&gt;0,D16/$B$19,0)</f>
        <v>188.97531586206892</v>
      </c>
    </row>
    <row r="21" spans="1:6" x14ac:dyDescent="0.3">
      <c r="A21" s="7" t="s">
        <v>54</v>
      </c>
      <c r="B21" s="10">
        <f>IF($B$19&gt;0,B16/$B$19*30.4,0)</f>
        <v>2381.8928624551722</v>
      </c>
      <c r="C21" s="10">
        <f>IF($B$19&gt;0,C16/$B$19*30.4,0)</f>
        <v>3517.6375878620688</v>
      </c>
      <c r="D21" s="10">
        <f>IF($B$19&gt;0,D16/$B$19*30.4,0)</f>
        <v>5744.8496022068948</v>
      </c>
    </row>
    <row r="22" spans="1:6" x14ac:dyDescent="0.3">
      <c r="A22" s="7" t="s">
        <v>55</v>
      </c>
      <c r="B22" s="8">
        <f>'Per land'!AC22</f>
        <v>18700</v>
      </c>
    </row>
    <row r="23" spans="1:6" x14ac:dyDescent="0.3">
      <c r="A23" s="7" t="s">
        <v>56</v>
      </c>
      <c r="C23" s="15">
        <f>C16-B22</f>
        <v>14856.411200000002</v>
      </c>
      <c r="F23" s="2" t="s">
        <v>57</v>
      </c>
    </row>
    <row r="24" spans="1:6" x14ac:dyDescent="0.3">
      <c r="A24" s="7" t="s">
        <v>58</v>
      </c>
      <c r="E24" s="16">
        <f>IF(C16&gt;0,E16/C16,0)</f>
        <v>0</v>
      </c>
      <c r="F24" s="2" t="s">
        <v>59</v>
      </c>
    </row>
    <row r="26" spans="1:6" x14ac:dyDescent="0.3">
      <c r="A26" s="3" t="s">
        <v>60</v>
      </c>
      <c r="B26" s="3" t="s">
        <v>25</v>
      </c>
      <c r="C26" s="3" t="s">
        <v>26</v>
      </c>
      <c r="D26" s="3" t="s">
        <v>27</v>
      </c>
      <c r="E26" s="3" t="s">
        <v>61</v>
      </c>
    </row>
    <row r="27" spans="1:6" x14ac:dyDescent="0.3">
      <c r="A27" s="7" t="s">
        <v>62</v>
      </c>
      <c r="B27" s="8">
        <f>SUMIFS('Per land'!W5:W21,'Per land'!$B$5:$B$21,$A27)</f>
        <v>3714.308</v>
      </c>
      <c r="C27" s="8">
        <f>SUMIFS('Per land'!X5:X21,'Per land'!$B$5:$B$21,$A27)</f>
        <v>5345.6</v>
      </c>
      <c r="D27" s="8">
        <f>SUMIFS('Per land'!Y5:Y21,'Per land'!$B$5:$B$21,$A27)</f>
        <v>8525.4</v>
      </c>
      <c r="E27" s="14">
        <f>SUMIFS('Per land'!D5:D21,'Per land'!$B$5:$B$21,$A27)</f>
        <v>52</v>
      </c>
    </row>
    <row r="28" spans="1:6" x14ac:dyDescent="0.3">
      <c r="A28" s="7" t="s">
        <v>63</v>
      </c>
      <c r="B28" s="8">
        <f>SUMIFS('Per land'!W5:W21,'Per land'!$B$5:$B$21,$A28)</f>
        <v>3962.712</v>
      </c>
      <c r="C28" s="8">
        <f>SUMIFS('Per land'!X5:X21,'Per land'!$B$5:$B$21,$A28)</f>
        <v>6080.8799999999992</v>
      </c>
      <c r="D28" s="8">
        <f>SUMIFS('Per land'!Y5:Y21,'Per land'!$B$5:$B$21,$A28)</f>
        <v>10260.119999999999</v>
      </c>
      <c r="E28" s="14">
        <f>SUMIFS('Per land'!D5:D21,'Per land'!$B$5:$B$21,$A28)</f>
        <v>38</v>
      </c>
    </row>
    <row r="29" spans="1:6" x14ac:dyDescent="0.3">
      <c r="A29" s="7" t="s">
        <v>64</v>
      </c>
      <c r="B29" s="8">
        <f>SUMIFS('Per land'!W5:W21,'Per land'!$B$5:$B$21,$A29)</f>
        <v>888.16000000000008</v>
      </c>
      <c r="C29" s="8">
        <f>SUMIFS('Per land'!X5:X21,'Per land'!$B$5:$B$21,$A29)</f>
        <v>1327.04</v>
      </c>
      <c r="D29" s="8">
        <f>SUMIFS('Per land'!Y5:Y21,'Per land'!$B$5:$B$21,$A29)</f>
        <v>2210</v>
      </c>
      <c r="E29" s="14">
        <f>SUMIFS('Per land'!D5:D21,'Per land'!$B$5:$B$21,$A29)</f>
        <v>14</v>
      </c>
    </row>
    <row r="30" spans="1:6" x14ac:dyDescent="0.3">
      <c r="A30" s="7" t="s">
        <v>65</v>
      </c>
      <c r="B30" s="8">
        <f>SUMIFS('Per land'!W5:W21,'Per land'!$B$5:$B$21,$A30)</f>
        <v>3441.6719999999996</v>
      </c>
      <c r="C30" s="8">
        <f>SUMIFS('Per land'!X5:X21,'Per land'!$B$5:$B$21,$A30)</f>
        <v>5052.32</v>
      </c>
      <c r="D30" s="8">
        <f>SUMIFS('Per land'!Y5:Y21,'Per land'!$B$5:$B$21,$A30)</f>
        <v>8131.76</v>
      </c>
      <c r="E30" s="14">
        <f>SUMIFS('Per land'!D5:D21,'Per land'!$B$5:$B$21,$A30)</f>
        <v>77</v>
      </c>
    </row>
    <row r="31" spans="1:6" x14ac:dyDescent="0.3">
      <c r="A31" s="7" t="s">
        <v>66</v>
      </c>
      <c r="B31" s="8">
        <f>SUMIFS('Per land'!W5:W21,'Per land'!$B$5:$B$21,$A31)</f>
        <v>2893.1240000000003</v>
      </c>
      <c r="C31" s="8">
        <f>SUMIFS('Per land'!X5:X21,'Per land'!$B$5:$B$21,$A31)</f>
        <v>4347.2000000000007</v>
      </c>
      <c r="D31" s="8">
        <f>SUMIFS('Per land'!Y5:Y21,'Per land'!$B$5:$B$21,$A31)</f>
        <v>7468.24</v>
      </c>
      <c r="E31" s="14">
        <f>SUMIFS('Per land'!D5:D21,'Per land'!$B$5:$B$21,$A31)</f>
        <v>49</v>
      </c>
    </row>
    <row r="32" spans="1:6" x14ac:dyDescent="0.3">
      <c r="A32" s="7" t="s">
        <v>67</v>
      </c>
      <c r="B32" s="8">
        <f>SUMIFS('Per land'!W5:W21,'Per land'!$B$5:$B$21,$A32)</f>
        <v>2917.616</v>
      </c>
      <c r="C32" s="8">
        <f>SUMIFS('Per land'!X5:X21,'Per land'!$B$5:$B$21,$A32)</f>
        <v>4292.0800000000008</v>
      </c>
      <c r="D32" s="8">
        <f>SUMIFS('Per land'!Y5:Y21,'Per land'!$B$5:$B$21,$A32)</f>
        <v>6839.04</v>
      </c>
      <c r="E32" s="14">
        <f>SUMIFS('Per land'!D5:D21,'Per land'!$B$5:$B$21,$A32)</f>
        <v>56</v>
      </c>
    </row>
    <row r="33" spans="1:5" x14ac:dyDescent="0.3">
      <c r="A33" s="7" t="s">
        <v>68</v>
      </c>
      <c r="B33" s="8">
        <f>SUMIFS('Per land'!W5:W21,'Per land'!$B$5:$B$21,$A33)</f>
        <v>324.48</v>
      </c>
      <c r="C33" s="8">
        <f>SUMIFS('Per land'!X5:X21,'Per land'!$B$5:$B$21,$A33)</f>
        <v>520</v>
      </c>
      <c r="D33" s="8">
        <f>SUMIFS('Per land'!Y5:Y21,'Per land'!$B$5:$B$21,$A33)</f>
        <v>884</v>
      </c>
      <c r="E33" s="14">
        <f>SUMIFS('Per land'!D5:D21,'Per land'!$B$5:$B$21,$A33)</f>
        <v>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workbookViewId="0"/>
  </sheetViews>
  <sheetFormatPr defaultRowHeight="14.4" x14ac:dyDescent="0.3"/>
  <cols>
    <col min="1" max="1" width="46" customWidth="1"/>
    <col min="2" max="4" width="14" customWidth="1"/>
    <col min="5" max="5" width="80" customWidth="1"/>
  </cols>
  <sheetData>
    <row r="1" spans="1:5" ht="17.399999999999999" x14ac:dyDescent="0.3">
      <c r="A1" s="1" t="s">
        <v>69</v>
      </c>
    </row>
    <row r="2" spans="1:5" x14ac:dyDescent="0.3">
      <c r="A2" s="2" t="s">
        <v>70</v>
      </c>
    </row>
    <row r="4" spans="1:5" x14ac:dyDescent="0.3">
      <c r="A4" s="3" t="s">
        <v>71</v>
      </c>
    </row>
    <row r="5" spans="1:5" x14ac:dyDescent="0.3">
      <c r="A5" s="7" t="s">
        <v>72</v>
      </c>
      <c r="B5" s="17">
        <v>46614</v>
      </c>
      <c r="E5" s="2" t="s">
        <v>73</v>
      </c>
    </row>
    <row r="6" spans="1:5" x14ac:dyDescent="0.3">
      <c r="A6" s="7" t="s">
        <v>74</v>
      </c>
      <c r="B6" s="18">
        <v>1.04</v>
      </c>
      <c r="E6" s="2" t="s">
        <v>75</v>
      </c>
    </row>
    <row r="7" spans="1:5" x14ac:dyDescent="0.3">
      <c r="A7" s="7" t="s">
        <v>76</v>
      </c>
      <c r="B7" s="18">
        <v>1</v>
      </c>
      <c r="E7" s="2" t="s">
        <v>77</v>
      </c>
    </row>
    <row r="8" spans="1:5" x14ac:dyDescent="0.3">
      <c r="A8" s="7" t="s">
        <v>78</v>
      </c>
      <c r="B8" s="19">
        <v>0.1</v>
      </c>
      <c r="E8" s="2" t="s">
        <v>79</v>
      </c>
    </row>
    <row r="9" spans="1:5" x14ac:dyDescent="0.3">
      <c r="A9" s="7" t="s">
        <v>80</v>
      </c>
      <c r="B9" s="19">
        <v>1.4999999999999999E-2</v>
      </c>
      <c r="E9" s="2" t="s">
        <v>81</v>
      </c>
    </row>
    <row r="10" spans="1:5" x14ac:dyDescent="0.3">
      <c r="A10" s="7" t="s">
        <v>82</v>
      </c>
      <c r="B10" s="20">
        <f>ROUNDUP('Per land'!D22/30.4,0)</f>
        <v>10</v>
      </c>
      <c r="E10" s="2" t="s">
        <v>83</v>
      </c>
    </row>
    <row r="12" spans="1:5" x14ac:dyDescent="0.3">
      <c r="A12" s="3" t="s">
        <v>84</v>
      </c>
      <c r="B12" s="3" t="s">
        <v>25</v>
      </c>
      <c r="C12" s="3" t="s">
        <v>26</v>
      </c>
      <c r="D12" s="3" t="s">
        <v>27</v>
      </c>
    </row>
    <row r="13" spans="1:5" x14ac:dyDescent="0.3">
      <c r="A13" s="7" t="s">
        <v>85</v>
      </c>
      <c r="B13" s="21">
        <v>0.6</v>
      </c>
      <c r="C13" s="21">
        <v>1</v>
      </c>
      <c r="D13" s="21">
        <v>2</v>
      </c>
      <c r="E13" s="2" t="s">
        <v>86</v>
      </c>
    </row>
    <row r="14" spans="1:5" x14ac:dyDescent="0.3">
      <c r="A14" s="7" t="s">
        <v>87</v>
      </c>
      <c r="B14" s="21">
        <v>0.75</v>
      </c>
      <c r="C14" s="21">
        <v>1</v>
      </c>
      <c r="D14" s="21">
        <v>1.5</v>
      </c>
      <c r="E14" s="2" t="s">
        <v>88</v>
      </c>
    </row>
    <row r="15" spans="1:5" x14ac:dyDescent="0.3">
      <c r="A15" s="7" t="s">
        <v>89</v>
      </c>
      <c r="B15" s="21">
        <v>0.8</v>
      </c>
      <c r="C15" s="21">
        <v>1</v>
      </c>
      <c r="D15" s="21">
        <v>1.5</v>
      </c>
      <c r="E15" s="2" t="s">
        <v>90</v>
      </c>
    </row>
    <row r="16" spans="1:5" x14ac:dyDescent="0.3">
      <c r="A16" s="7" t="s">
        <v>91</v>
      </c>
      <c r="B16" s="21">
        <v>0.5</v>
      </c>
      <c r="C16" s="21">
        <v>1</v>
      </c>
      <c r="D16" s="21">
        <v>1.5</v>
      </c>
      <c r="E16" s="2" t="s">
        <v>92</v>
      </c>
    </row>
    <row r="18" spans="1:1" x14ac:dyDescent="0.3">
      <c r="A18" s="2" t="s">
        <v>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2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26" customWidth="1"/>
    <col min="3" max="3" width="22" customWidth="1"/>
    <col min="4" max="4" width="7" customWidth="1"/>
    <col min="5" max="6" width="11" customWidth="1"/>
    <col min="7" max="13" width="10" customWidth="1"/>
    <col min="14" max="25" width="11" customWidth="1"/>
    <col min="26" max="28" width="10" customWidth="1"/>
    <col min="29" max="29" width="12" customWidth="1"/>
    <col min="30" max="30" width="14" customWidth="1"/>
    <col min="31" max="31" width="12" customWidth="1"/>
  </cols>
  <sheetData>
    <row r="1" spans="1:31" ht="17.399999999999999" x14ac:dyDescent="0.3">
      <c r="A1" s="1" t="s">
        <v>94</v>
      </c>
    </row>
    <row r="2" spans="1:31" x14ac:dyDescent="0.3">
      <c r="A2" s="2" t="s">
        <v>95</v>
      </c>
    </row>
    <row r="4" spans="1:31" ht="31.95" customHeight="1" x14ac:dyDescent="0.3">
      <c r="A4" s="22" t="s">
        <v>96</v>
      </c>
      <c r="B4" s="22" t="s">
        <v>97</v>
      </c>
      <c r="C4" s="22" t="s">
        <v>98</v>
      </c>
      <c r="D4" s="22" t="s">
        <v>61</v>
      </c>
      <c r="E4" s="22" t="s">
        <v>99</v>
      </c>
      <c r="F4" s="22" t="s">
        <v>100</v>
      </c>
      <c r="G4" s="22" t="s">
        <v>101</v>
      </c>
      <c r="H4" s="22" t="s">
        <v>102</v>
      </c>
      <c r="I4" s="22" t="s">
        <v>103</v>
      </c>
      <c r="J4" s="22" t="s">
        <v>104</v>
      </c>
      <c r="K4" s="22" t="s">
        <v>105</v>
      </c>
      <c r="L4" s="22" t="s">
        <v>106</v>
      </c>
      <c r="M4" s="22" t="s">
        <v>107</v>
      </c>
      <c r="N4" s="22" t="s">
        <v>108</v>
      </c>
      <c r="O4" s="22" t="s">
        <v>109</v>
      </c>
      <c r="P4" s="22" t="s">
        <v>110</v>
      </c>
      <c r="Q4" s="22" t="s">
        <v>111</v>
      </c>
      <c r="R4" s="22" t="s">
        <v>112</v>
      </c>
      <c r="S4" s="22" t="s">
        <v>113</v>
      </c>
      <c r="T4" s="22" t="s">
        <v>114</v>
      </c>
      <c r="U4" s="22" t="s">
        <v>115</v>
      </c>
      <c r="V4" s="22" t="s">
        <v>116</v>
      </c>
      <c r="W4" s="22" t="s">
        <v>117</v>
      </c>
      <c r="X4" s="22" t="s">
        <v>118</v>
      </c>
      <c r="Y4" s="22" t="s">
        <v>119</v>
      </c>
      <c r="Z4" s="22" t="s">
        <v>120</v>
      </c>
      <c r="AA4" s="22" t="s">
        <v>121</v>
      </c>
      <c r="AB4" s="22" t="s">
        <v>122</v>
      </c>
      <c r="AC4" s="22" t="s">
        <v>123</v>
      </c>
      <c r="AD4" s="22" t="s">
        <v>124</v>
      </c>
      <c r="AE4" s="22" t="s">
        <v>125</v>
      </c>
    </row>
    <row r="5" spans="1:31" x14ac:dyDescent="0.3">
      <c r="A5" s="7" t="s">
        <v>126</v>
      </c>
      <c r="B5" s="7" t="s">
        <v>62</v>
      </c>
      <c r="C5" s="7" t="s">
        <v>127</v>
      </c>
      <c r="D5" s="23">
        <v>17</v>
      </c>
      <c r="E5" s="24">
        <f>Instellingen!$B$5</f>
        <v>46614</v>
      </c>
      <c r="F5" s="25">
        <f t="shared" ref="F5:F21" si="0">E5+D5</f>
        <v>46631</v>
      </c>
      <c r="G5" s="26">
        <v>20</v>
      </c>
      <c r="H5" s="26">
        <v>18</v>
      </c>
      <c r="I5" s="26">
        <v>12</v>
      </c>
      <c r="J5" s="26">
        <v>15</v>
      </c>
      <c r="K5" s="10">
        <f>(G5*Instellingen!$B$13*Instellingen!$B$7+H5*Instellingen!$B$14+I5*Instellingen!$B$15+J5*Instellingen!$B$16)*Instellingen!$B$6</f>
        <v>44.304000000000002</v>
      </c>
      <c r="L5" s="10">
        <f>(G5*Instellingen!$C$13*Instellingen!$B$7+H5*Instellingen!$C$14+I5*Instellingen!$C$15+J5*Instellingen!$C$16)*Instellingen!$B$6</f>
        <v>67.600000000000009</v>
      </c>
      <c r="M5" s="10">
        <f>(G5*Instellingen!$D$13*Instellingen!$B$7+H5*Instellingen!$D$14+I5*Instellingen!$D$15+J5*Instellingen!$D$16)*Instellingen!$B$6</f>
        <v>111.8</v>
      </c>
      <c r="N5" s="10">
        <f t="shared" ref="N5:N21" si="1">K5*D5</f>
        <v>753.16800000000001</v>
      </c>
      <c r="O5" s="10">
        <f t="shared" ref="O5:O21" si="2">L5*D5</f>
        <v>1149.2</v>
      </c>
      <c r="P5" s="10">
        <f t="shared" ref="P5:P21" si="3">M5*D5</f>
        <v>1900.6</v>
      </c>
      <c r="Q5" s="8">
        <f>SUMIFS(Vervoer!$F:$F,Vervoer!$A:$A,$A5,Vervoer!$D:$D,"&lt;&gt;Internationaal")*Instellingen!$B$6</f>
        <v>374.40000000000003</v>
      </c>
      <c r="R5" s="8">
        <f>SUMIFS(Vervoer!$G:$G,Vervoer!$A:$A,$A5,Vervoer!$D:$D,"&lt;&gt;Internationaal")*Instellingen!$B$6</f>
        <v>462.8</v>
      </c>
      <c r="S5" s="8">
        <f>SUMIFS(Vervoer!$H:$H,Vervoer!$A:$A,$A5,Vervoer!$D:$D,"&lt;&gt;Internationaal")*Instellingen!$B$6</f>
        <v>665.6</v>
      </c>
      <c r="T5" s="8">
        <f>SUMIFS('Extra''s'!$F:$F,'Extra''s'!$A:$A,$A5,'Extra''s'!$E:$E,"Ja")*Instellingen!$B$6</f>
        <v>572</v>
      </c>
      <c r="U5" s="8">
        <f>SUMIFS('Extra''s'!$G:$G,'Extra''s'!$A:$A,$A5,'Extra''s'!$E:$E,"Ja")*Instellingen!$B$6</f>
        <v>728</v>
      </c>
      <c r="V5" s="8">
        <f>SUMIFS('Extra''s'!$H:$H,'Extra''s'!$A:$A,$A5,'Extra''s'!$E:$E,"Ja")*Instellingen!$B$6</f>
        <v>1040</v>
      </c>
      <c r="W5" s="15">
        <f t="shared" ref="W5:W21" si="4">N5+Q5+T5</f>
        <v>1699.568</v>
      </c>
      <c r="X5" s="15">
        <f t="shared" ref="X5:X21" si="5">O5+R5+U5</f>
        <v>2340</v>
      </c>
      <c r="Y5" s="15">
        <f t="shared" ref="Y5:Y21" si="6">P5+S5+V5</f>
        <v>3606.2</v>
      </c>
      <c r="Z5" s="10">
        <f t="shared" ref="Z5:Z22" si="7">IF(D5&gt;0,W5/D5,0)</f>
        <v>99.974588235294121</v>
      </c>
      <c r="AA5" s="10">
        <f t="shared" ref="AA5:AA22" si="8">IF(D5&gt;0,X5/D5,0)</f>
        <v>137.64705882352942</v>
      </c>
      <c r="AB5" s="10">
        <f t="shared" ref="AB5:AB22" si="9">IF(D5&gt;0,Y5/D5,0)</f>
        <v>212.12941176470588</v>
      </c>
      <c r="AC5" s="26">
        <v>1105</v>
      </c>
      <c r="AD5" s="27"/>
      <c r="AE5" s="10" t="str">
        <f t="shared" ref="AE5:AE21" si="10">IF(AD5="","",AD5-O5)</f>
        <v/>
      </c>
    </row>
    <row r="6" spans="1:31" x14ac:dyDescent="0.3">
      <c r="A6" s="7" t="s">
        <v>128</v>
      </c>
      <c r="B6" s="7" t="s">
        <v>62</v>
      </c>
      <c r="C6" s="7" t="s">
        <v>129</v>
      </c>
      <c r="D6" s="23">
        <v>35</v>
      </c>
      <c r="E6" s="25">
        <f t="shared" ref="E6:E21" si="11">F5</f>
        <v>46631</v>
      </c>
      <c r="F6" s="25">
        <f t="shared" si="0"/>
        <v>46666</v>
      </c>
      <c r="G6" s="26">
        <v>22</v>
      </c>
      <c r="H6" s="26">
        <v>15</v>
      </c>
      <c r="I6" s="26">
        <v>8</v>
      </c>
      <c r="J6" s="26">
        <v>13</v>
      </c>
      <c r="K6" s="10">
        <f>(G6*Instellingen!$B$13*Instellingen!$B$7+H6*Instellingen!$B$14+I6*Instellingen!$B$15+J6*Instellingen!$B$16)*Instellingen!$B$6</f>
        <v>38.844000000000001</v>
      </c>
      <c r="L6" s="10">
        <f>(G6*Instellingen!$C$13*Instellingen!$B$7+H6*Instellingen!$C$14+I6*Instellingen!$C$15+J6*Instellingen!$C$16)*Instellingen!$B$6</f>
        <v>60.32</v>
      </c>
      <c r="M6" s="10">
        <f>(G6*Instellingen!$D$13*Instellingen!$B$7+H6*Instellingen!$D$14+I6*Instellingen!$D$15+J6*Instellingen!$D$16)*Instellingen!$B$6</f>
        <v>101.92</v>
      </c>
      <c r="N6" s="10">
        <f t="shared" si="1"/>
        <v>1359.54</v>
      </c>
      <c r="O6" s="10">
        <f t="shared" si="2"/>
        <v>2111.1999999999998</v>
      </c>
      <c r="P6" s="10">
        <f t="shared" si="3"/>
        <v>3567.2000000000003</v>
      </c>
      <c r="Q6" s="8">
        <f>SUMIFS(Vervoer!$F:$F,Vervoer!$A:$A,$A6,Vervoer!$D:$D,"&lt;&gt;Internationaal")*Instellingen!$B$6</f>
        <v>364</v>
      </c>
      <c r="R6" s="8">
        <f>SUMIFS(Vervoer!$G:$G,Vervoer!$A:$A,$A6,Vervoer!$D:$D,"&lt;&gt;Internationaal")*Instellingen!$B$6</f>
        <v>468</v>
      </c>
      <c r="S6" s="8">
        <f>SUMIFS(Vervoer!$H:$H,Vervoer!$A:$A,$A6,Vervoer!$D:$D,"&lt;&gt;Internationaal")*Instellingen!$B$6</f>
        <v>717.6</v>
      </c>
      <c r="T6" s="8">
        <f>SUMIFS('Extra''s'!$F:$F,'Extra''s'!$A:$A,$A6,'Extra''s'!$E:$E,"Ja")*Instellingen!$B$6</f>
        <v>291.2</v>
      </c>
      <c r="U6" s="8">
        <f>SUMIFS('Extra''s'!$G:$G,'Extra''s'!$A:$A,$A6,'Extra''s'!$E:$E,"Ja")*Instellingen!$B$6</f>
        <v>426.40000000000003</v>
      </c>
      <c r="V6" s="8">
        <f>SUMIFS('Extra''s'!$H:$H,'Extra''s'!$A:$A,$A6,'Extra''s'!$E:$E,"Ja")*Instellingen!$B$6</f>
        <v>634.4</v>
      </c>
      <c r="W6" s="15">
        <f t="shared" si="4"/>
        <v>2014.74</v>
      </c>
      <c r="X6" s="15">
        <f t="shared" si="5"/>
        <v>3005.6</v>
      </c>
      <c r="Y6" s="15">
        <f t="shared" si="6"/>
        <v>4919.2</v>
      </c>
      <c r="Z6" s="10">
        <f t="shared" si="7"/>
        <v>57.564</v>
      </c>
      <c r="AA6" s="10">
        <f t="shared" si="8"/>
        <v>85.874285714285705</v>
      </c>
      <c r="AB6" s="10">
        <f t="shared" si="9"/>
        <v>140.54857142857142</v>
      </c>
      <c r="AC6" s="26">
        <v>2030</v>
      </c>
      <c r="AD6" s="27"/>
      <c r="AE6" s="10" t="str">
        <f t="shared" si="10"/>
        <v/>
      </c>
    </row>
    <row r="7" spans="1:31" x14ac:dyDescent="0.3">
      <c r="A7" s="7" t="s">
        <v>130</v>
      </c>
      <c r="B7" s="7" t="s">
        <v>63</v>
      </c>
      <c r="C7" s="7" t="s">
        <v>131</v>
      </c>
      <c r="D7" s="23">
        <v>7</v>
      </c>
      <c r="E7" s="25">
        <f t="shared" si="11"/>
        <v>46666</v>
      </c>
      <c r="F7" s="25">
        <f t="shared" si="0"/>
        <v>46673</v>
      </c>
      <c r="G7" s="26">
        <v>28</v>
      </c>
      <c r="H7" s="26">
        <v>20</v>
      </c>
      <c r="I7" s="26">
        <v>7</v>
      </c>
      <c r="J7" s="26">
        <v>10</v>
      </c>
      <c r="K7" s="10">
        <f>(G7*Instellingen!$B$13*Instellingen!$B$7+H7*Instellingen!$B$14+I7*Instellingen!$B$15+J7*Instellingen!$B$16)*Instellingen!$B$6</f>
        <v>44.095999999999997</v>
      </c>
      <c r="L7" s="10">
        <f>(G7*Instellingen!$C$13*Instellingen!$B$7+H7*Instellingen!$C$14+I7*Instellingen!$C$15+J7*Instellingen!$C$16)*Instellingen!$B$6</f>
        <v>67.600000000000009</v>
      </c>
      <c r="M7" s="10">
        <f>(G7*Instellingen!$D$13*Instellingen!$B$7+H7*Instellingen!$D$14+I7*Instellingen!$D$15+J7*Instellingen!$D$16)*Instellingen!$B$6</f>
        <v>115.96000000000001</v>
      </c>
      <c r="N7" s="10">
        <f t="shared" si="1"/>
        <v>308.67199999999997</v>
      </c>
      <c r="O7" s="10">
        <f t="shared" si="2"/>
        <v>473.20000000000005</v>
      </c>
      <c r="P7" s="10">
        <f t="shared" si="3"/>
        <v>811.72</v>
      </c>
      <c r="Q7" s="8">
        <f>SUMIFS(Vervoer!$F:$F,Vervoer!$A:$A,$A7,Vervoer!$D:$D,"&lt;&gt;Internationaal")*Instellingen!$B$6</f>
        <v>83.2</v>
      </c>
      <c r="R7" s="8">
        <f>SUMIFS(Vervoer!$G:$G,Vervoer!$A:$A,$A7,Vervoer!$D:$D,"&lt;&gt;Internationaal")*Instellingen!$B$6</f>
        <v>137.28</v>
      </c>
      <c r="S7" s="8">
        <f>SUMIFS(Vervoer!$H:$H,Vervoer!$A:$A,$A7,Vervoer!$D:$D,"&lt;&gt;Internationaal")*Instellingen!$B$6</f>
        <v>234</v>
      </c>
      <c r="T7" s="8">
        <f>SUMIFS('Extra''s'!$F:$F,'Extra''s'!$A:$A,$A7,'Extra''s'!$E:$E,"Ja")*Instellingen!$B$6</f>
        <v>31.200000000000003</v>
      </c>
      <c r="U7" s="8">
        <f>SUMIFS('Extra''s'!$G:$G,'Extra''s'!$A:$A,$A7,'Extra''s'!$E:$E,"Ja")*Instellingen!$B$6</f>
        <v>46.800000000000004</v>
      </c>
      <c r="V7" s="8">
        <f>SUMIFS('Extra''s'!$H:$H,'Extra''s'!$A:$A,$A7,'Extra''s'!$E:$E,"Ja")*Instellingen!$B$6</f>
        <v>78</v>
      </c>
      <c r="W7" s="15">
        <f t="shared" si="4"/>
        <v>423.07199999999995</v>
      </c>
      <c r="X7" s="15">
        <f t="shared" si="5"/>
        <v>657.28</v>
      </c>
      <c r="Y7" s="15">
        <f t="shared" si="6"/>
        <v>1123.72</v>
      </c>
      <c r="Z7" s="10">
        <f t="shared" si="7"/>
        <v>60.438857142857138</v>
      </c>
      <c r="AA7" s="10">
        <f t="shared" si="8"/>
        <v>93.897142857142853</v>
      </c>
      <c r="AB7" s="10">
        <f t="shared" si="9"/>
        <v>160.53142857142856</v>
      </c>
      <c r="AC7" s="26">
        <v>455</v>
      </c>
      <c r="AD7" s="27"/>
      <c r="AE7" s="10" t="str">
        <f t="shared" si="10"/>
        <v/>
      </c>
    </row>
    <row r="8" spans="1:31" x14ac:dyDescent="0.3">
      <c r="A8" s="7" t="s">
        <v>132</v>
      </c>
      <c r="B8" s="7" t="s">
        <v>63</v>
      </c>
      <c r="C8" s="7" t="s">
        <v>133</v>
      </c>
      <c r="D8" s="23">
        <v>31</v>
      </c>
      <c r="E8" s="25">
        <f t="shared" si="11"/>
        <v>46673</v>
      </c>
      <c r="F8" s="25">
        <f t="shared" si="0"/>
        <v>46704</v>
      </c>
      <c r="G8" s="26">
        <v>60</v>
      </c>
      <c r="H8" s="26">
        <v>40</v>
      </c>
      <c r="I8" s="26">
        <v>25</v>
      </c>
      <c r="J8" s="26">
        <v>25</v>
      </c>
      <c r="K8" s="10">
        <f>(G8*Instellingen!$B$13*Instellingen!$B$7+H8*Instellingen!$B$14+I8*Instellingen!$B$15+J8*Instellingen!$B$16)*Instellingen!$B$6</f>
        <v>102.44</v>
      </c>
      <c r="L8" s="10">
        <f>(G8*Instellingen!$C$13*Instellingen!$B$7+H8*Instellingen!$C$14+I8*Instellingen!$C$15+J8*Instellingen!$C$16)*Instellingen!$B$6</f>
        <v>156</v>
      </c>
      <c r="M8" s="10">
        <f>(G8*Instellingen!$D$13*Instellingen!$B$7+H8*Instellingen!$D$14+I8*Instellingen!$D$15+J8*Instellingen!$D$16)*Instellingen!$B$6</f>
        <v>265.2</v>
      </c>
      <c r="N8" s="10">
        <f t="shared" si="1"/>
        <v>3175.64</v>
      </c>
      <c r="O8" s="10">
        <f t="shared" si="2"/>
        <v>4836</v>
      </c>
      <c r="P8" s="10">
        <f t="shared" si="3"/>
        <v>8221.1999999999989</v>
      </c>
      <c r="Q8" s="8">
        <f>SUMIFS(Vervoer!$F:$F,Vervoer!$A:$A,$A8,Vervoer!$D:$D,"&lt;&gt;Internationaal")*Instellingen!$B$6</f>
        <v>364</v>
      </c>
      <c r="R8" s="8">
        <f>SUMIFS(Vervoer!$G:$G,Vervoer!$A:$A,$A8,Vervoer!$D:$D,"&lt;&gt;Internationaal")*Instellingen!$B$6</f>
        <v>504.40000000000003</v>
      </c>
      <c r="S8" s="8">
        <f>SUMIFS(Vervoer!$H:$H,Vervoer!$A:$A,$A8,Vervoer!$D:$D,"&lt;&gt;Internationaal")*Instellingen!$B$6</f>
        <v>707.2</v>
      </c>
      <c r="T8" s="8">
        <f>SUMIFS('Extra''s'!$F:$F,'Extra''s'!$A:$A,$A8,'Extra''s'!$E:$E,"Ja")*Instellingen!$B$6</f>
        <v>0</v>
      </c>
      <c r="U8" s="8">
        <f>SUMIFS('Extra''s'!$G:$G,'Extra''s'!$A:$A,$A8,'Extra''s'!$E:$E,"Ja")*Instellingen!$B$6</f>
        <v>83.2</v>
      </c>
      <c r="V8" s="8">
        <f>SUMIFS('Extra''s'!$H:$H,'Extra''s'!$A:$A,$A8,'Extra''s'!$E:$E,"Ja")*Instellingen!$B$6</f>
        <v>208</v>
      </c>
      <c r="W8" s="15">
        <f t="shared" si="4"/>
        <v>3539.64</v>
      </c>
      <c r="X8" s="15">
        <f t="shared" si="5"/>
        <v>5423.5999999999995</v>
      </c>
      <c r="Y8" s="15">
        <f t="shared" si="6"/>
        <v>9136.4</v>
      </c>
      <c r="Z8" s="10">
        <f t="shared" si="7"/>
        <v>114.18193548387096</v>
      </c>
      <c r="AA8" s="10">
        <f t="shared" si="8"/>
        <v>174.9548387096774</v>
      </c>
      <c r="AB8" s="10">
        <f t="shared" si="9"/>
        <v>294.72258064516126</v>
      </c>
      <c r="AC8" s="26">
        <v>4650</v>
      </c>
      <c r="AD8" s="27"/>
      <c r="AE8" s="10" t="str">
        <f t="shared" si="10"/>
        <v/>
      </c>
    </row>
    <row r="9" spans="1:31" x14ac:dyDescent="0.3">
      <c r="A9" s="7" t="s">
        <v>134</v>
      </c>
      <c r="B9" s="7" t="s">
        <v>64</v>
      </c>
      <c r="C9" s="7" t="s">
        <v>64</v>
      </c>
      <c r="D9" s="23">
        <v>14</v>
      </c>
      <c r="E9" s="25">
        <f t="shared" si="11"/>
        <v>46704</v>
      </c>
      <c r="F9" s="25">
        <f t="shared" si="0"/>
        <v>46718</v>
      </c>
      <c r="G9" s="26">
        <v>30</v>
      </c>
      <c r="H9" s="26">
        <v>20</v>
      </c>
      <c r="I9" s="26">
        <v>10</v>
      </c>
      <c r="J9" s="26">
        <v>15</v>
      </c>
      <c r="K9" s="10">
        <f>(G9*Instellingen!$B$13*Instellingen!$B$7+H9*Instellingen!$B$14+I9*Instellingen!$B$15+J9*Instellingen!$B$16)*Instellingen!$B$6</f>
        <v>50.440000000000005</v>
      </c>
      <c r="L9" s="10">
        <f>(G9*Instellingen!$C$13*Instellingen!$B$7+H9*Instellingen!$C$14+I9*Instellingen!$C$15+J9*Instellingen!$C$16)*Instellingen!$B$6</f>
        <v>78</v>
      </c>
      <c r="M9" s="10">
        <f>(G9*Instellingen!$D$13*Instellingen!$B$7+H9*Instellingen!$D$14+I9*Instellingen!$D$15+J9*Instellingen!$D$16)*Instellingen!$B$6</f>
        <v>132.6</v>
      </c>
      <c r="N9" s="10">
        <f t="shared" si="1"/>
        <v>706.16000000000008</v>
      </c>
      <c r="O9" s="10">
        <f t="shared" si="2"/>
        <v>1092</v>
      </c>
      <c r="P9" s="10">
        <f t="shared" si="3"/>
        <v>1856.3999999999999</v>
      </c>
      <c r="Q9" s="8">
        <f>SUMIFS(Vervoer!$F:$F,Vervoer!$A:$A,$A9,Vervoer!$D:$D,"&lt;&gt;Internationaal")*Instellingen!$B$6</f>
        <v>182</v>
      </c>
      <c r="R9" s="8">
        <f>SUMIFS(Vervoer!$G:$G,Vervoer!$A:$A,$A9,Vervoer!$D:$D,"&lt;&gt;Internationaal")*Instellingen!$B$6</f>
        <v>235.04000000000002</v>
      </c>
      <c r="S9" s="8">
        <f>SUMIFS(Vervoer!$H:$H,Vervoer!$A:$A,$A9,Vervoer!$D:$D,"&lt;&gt;Internationaal")*Instellingen!$B$6</f>
        <v>353.6</v>
      </c>
      <c r="T9" s="8">
        <f>SUMIFS('Extra''s'!$F:$F,'Extra''s'!$A:$A,$A9,'Extra''s'!$E:$E,"Ja")*Instellingen!$B$6</f>
        <v>0</v>
      </c>
      <c r="U9" s="8">
        <f>SUMIFS('Extra''s'!$G:$G,'Extra''s'!$A:$A,$A9,'Extra''s'!$E:$E,"Ja")*Instellingen!$B$6</f>
        <v>0</v>
      </c>
      <c r="V9" s="8">
        <f>SUMIFS('Extra''s'!$H:$H,'Extra''s'!$A:$A,$A9,'Extra''s'!$E:$E,"Ja")*Instellingen!$B$6</f>
        <v>0</v>
      </c>
      <c r="W9" s="15">
        <f t="shared" si="4"/>
        <v>888.16000000000008</v>
      </c>
      <c r="X9" s="15">
        <f t="shared" si="5"/>
        <v>1327.04</v>
      </c>
      <c r="Y9" s="15">
        <f t="shared" si="6"/>
        <v>2210</v>
      </c>
      <c r="Z9" s="10">
        <f t="shared" si="7"/>
        <v>63.440000000000005</v>
      </c>
      <c r="AA9" s="10">
        <f t="shared" si="8"/>
        <v>94.78857142857143</v>
      </c>
      <c r="AB9" s="10">
        <f t="shared" si="9"/>
        <v>157.85714285714286</v>
      </c>
      <c r="AC9" s="26">
        <v>1050</v>
      </c>
      <c r="AD9" s="27"/>
      <c r="AE9" s="10" t="str">
        <f t="shared" si="10"/>
        <v/>
      </c>
    </row>
    <row r="10" spans="1:31" x14ac:dyDescent="0.3">
      <c r="A10" s="7" t="s">
        <v>135</v>
      </c>
      <c r="B10" s="7" t="s">
        <v>65</v>
      </c>
      <c r="C10" s="7" t="s">
        <v>136</v>
      </c>
      <c r="D10" s="23">
        <v>28</v>
      </c>
      <c r="E10" s="25">
        <f t="shared" si="11"/>
        <v>46718</v>
      </c>
      <c r="F10" s="25">
        <f t="shared" si="0"/>
        <v>46746</v>
      </c>
      <c r="G10" s="26">
        <v>14</v>
      </c>
      <c r="H10" s="26">
        <v>14</v>
      </c>
      <c r="I10" s="26">
        <v>6</v>
      </c>
      <c r="J10" s="26">
        <v>10</v>
      </c>
      <c r="K10" s="10">
        <f>(G10*Instellingen!$B$13*Instellingen!$B$7+H10*Instellingen!$B$14+I10*Instellingen!$B$15+J10*Instellingen!$B$16)*Instellingen!$B$6</f>
        <v>29.847999999999999</v>
      </c>
      <c r="L10" s="10">
        <f>(G10*Instellingen!$C$13*Instellingen!$B$7+H10*Instellingen!$C$14+I10*Instellingen!$C$15+J10*Instellingen!$C$16)*Instellingen!$B$6</f>
        <v>45.760000000000005</v>
      </c>
      <c r="M10" s="10">
        <f>(G10*Instellingen!$D$13*Instellingen!$B$7+H10*Instellingen!$D$14+I10*Instellingen!$D$15+J10*Instellingen!$D$16)*Instellingen!$B$6</f>
        <v>75.92</v>
      </c>
      <c r="N10" s="10">
        <f t="shared" si="1"/>
        <v>835.74399999999991</v>
      </c>
      <c r="O10" s="10">
        <f t="shared" si="2"/>
        <v>1281.2800000000002</v>
      </c>
      <c r="P10" s="10">
        <f t="shared" si="3"/>
        <v>2125.7600000000002</v>
      </c>
      <c r="Q10" s="8">
        <f>SUMIFS(Vervoer!$F:$F,Vervoer!$A:$A,$A10,Vervoer!$D:$D,"&lt;&gt;Internationaal")*Instellingen!$B$6</f>
        <v>192.4</v>
      </c>
      <c r="R10" s="8">
        <f>SUMIFS(Vervoer!$G:$G,Vervoer!$A:$A,$A10,Vervoer!$D:$D,"&lt;&gt;Internationaal")*Instellingen!$B$6</f>
        <v>257.92</v>
      </c>
      <c r="S10" s="8">
        <f>SUMIFS(Vervoer!$H:$H,Vervoer!$A:$A,$A10,Vervoer!$D:$D,"&lt;&gt;Internationaal")*Instellingen!$B$6</f>
        <v>379.6</v>
      </c>
      <c r="T10" s="8">
        <f>SUMIFS('Extra''s'!$F:$F,'Extra''s'!$A:$A,$A10,'Extra''s'!$E:$E,"Ja")*Instellingen!$B$6</f>
        <v>317.2</v>
      </c>
      <c r="U10" s="8">
        <f>SUMIFS('Extra''s'!$G:$G,'Extra''s'!$A:$A,$A10,'Extra''s'!$E:$E,"Ja")*Instellingen!$B$6</f>
        <v>405.6</v>
      </c>
      <c r="V10" s="8">
        <f>SUMIFS('Extra''s'!$H:$H,'Extra''s'!$A:$A,$A10,'Extra''s'!$E:$E,"Ja")*Instellingen!$B$6</f>
        <v>572</v>
      </c>
      <c r="W10" s="15">
        <f t="shared" si="4"/>
        <v>1345.3440000000001</v>
      </c>
      <c r="X10" s="15">
        <f t="shared" si="5"/>
        <v>1944.8000000000002</v>
      </c>
      <c r="Y10" s="15">
        <f t="shared" si="6"/>
        <v>3077.36</v>
      </c>
      <c r="Z10" s="10">
        <f t="shared" si="7"/>
        <v>48.048000000000002</v>
      </c>
      <c r="AA10" s="10">
        <f t="shared" si="8"/>
        <v>69.45714285714287</v>
      </c>
      <c r="AB10" s="10">
        <f t="shared" si="9"/>
        <v>109.9057142857143</v>
      </c>
      <c r="AC10" s="26">
        <v>1235</v>
      </c>
      <c r="AD10" s="27"/>
      <c r="AE10" s="10" t="str">
        <f t="shared" si="10"/>
        <v/>
      </c>
    </row>
    <row r="11" spans="1:31" x14ac:dyDescent="0.3">
      <c r="A11" s="7" t="s">
        <v>137</v>
      </c>
      <c r="B11" s="7" t="s">
        <v>65</v>
      </c>
      <c r="C11" s="7" t="s">
        <v>138</v>
      </c>
      <c r="D11" s="23">
        <v>11</v>
      </c>
      <c r="E11" s="25">
        <f t="shared" si="11"/>
        <v>46746</v>
      </c>
      <c r="F11" s="25">
        <f t="shared" si="0"/>
        <v>46757</v>
      </c>
      <c r="G11" s="26">
        <v>14</v>
      </c>
      <c r="H11" s="26">
        <v>14</v>
      </c>
      <c r="I11" s="26">
        <v>6</v>
      </c>
      <c r="J11" s="26">
        <v>10</v>
      </c>
      <c r="K11" s="10">
        <f>(G11*Instellingen!$B$13*Instellingen!$B$7+H11*Instellingen!$B$14+I11*Instellingen!$B$15+J11*Instellingen!$B$16)*Instellingen!$B$6</f>
        <v>29.847999999999999</v>
      </c>
      <c r="L11" s="10">
        <f>(G11*Instellingen!$C$13*Instellingen!$B$7+H11*Instellingen!$C$14+I11*Instellingen!$C$15+J11*Instellingen!$C$16)*Instellingen!$B$6</f>
        <v>45.760000000000005</v>
      </c>
      <c r="M11" s="10">
        <f>(G11*Instellingen!$D$13*Instellingen!$B$7+H11*Instellingen!$D$14+I11*Instellingen!$D$15+J11*Instellingen!$D$16)*Instellingen!$B$6</f>
        <v>75.92</v>
      </c>
      <c r="N11" s="10">
        <f t="shared" si="1"/>
        <v>328.32799999999997</v>
      </c>
      <c r="O11" s="10">
        <f t="shared" si="2"/>
        <v>503.36000000000007</v>
      </c>
      <c r="P11" s="10">
        <f t="shared" si="3"/>
        <v>835.12</v>
      </c>
      <c r="Q11" s="8">
        <f>SUMIFS(Vervoer!$F:$F,Vervoer!$A:$A,$A11,Vervoer!$D:$D,"&lt;&gt;Internationaal")*Instellingen!$B$6</f>
        <v>46.800000000000004</v>
      </c>
      <c r="R11" s="8">
        <f>SUMIFS(Vervoer!$G:$G,Vervoer!$A:$A,$A11,Vervoer!$D:$D,"&lt;&gt;Internationaal")*Instellingen!$B$6</f>
        <v>67.600000000000009</v>
      </c>
      <c r="S11" s="8">
        <f>SUMIFS(Vervoer!$H:$H,Vervoer!$A:$A,$A11,Vervoer!$D:$D,"&lt;&gt;Internationaal")*Instellingen!$B$6</f>
        <v>119.60000000000001</v>
      </c>
      <c r="T11" s="8">
        <f>SUMIFS('Extra''s'!$F:$F,'Extra''s'!$A:$A,$A11,'Extra''s'!$E:$E,"Ja")*Instellingen!$B$6</f>
        <v>136.24</v>
      </c>
      <c r="U11" s="8">
        <f>SUMIFS('Extra''s'!$G:$G,'Extra''s'!$A:$A,$A11,'Extra''s'!$E:$E,"Ja")*Instellingen!$B$6</f>
        <v>159.12</v>
      </c>
      <c r="V11" s="8">
        <f>SUMIFS('Extra''s'!$H:$H,'Extra''s'!$A:$A,$A11,'Extra''s'!$E:$E,"Ja")*Instellingen!$B$6</f>
        <v>179.92000000000002</v>
      </c>
      <c r="W11" s="15">
        <f t="shared" si="4"/>
        <v>511.36799999999999</v>
      </c>
      <c r="X11" s="15">
        <f t="shared" si="5"/>
        <v>730.08</v>
      </c>
      <c r="Y11" s="15">
        <f t="shared" si="6"/>
        <v>1134.6400000000001</v>
      </c>
      <c r="Z11" s="10">
        <f t="shared" si="7"/>
        <v>46.488</v>
      </c>
      <c r="AA11" s="10">
        <f t="shared" si="8"/>
        <v>66.370909090909095</v>
      </c>
      <c r="AB11" s="10">
        <f t="shared" si="9"/>
        <v>103.14909090909092</v>
      </c>
      <c r="AC11" s="26">
        <v>480</v>
      </c>
      <c r="AD11" s="27"/>
      <c r="AE11" s="10" t="str">
        <f t="shared" si="10"/>
        <v/>
      </c>
    </row>
    <row r="12" spans="1:31" x14ac:dyDescent="0.3">
      <c r="A12" s="7" t="s">
        <v>139</v>
      </c>
      <c r="B12" s="7" t="s">
        <v>65</v>
      </c>
      <c r="C12" s="7" t="s">
        <v>140</v>
      </c>
      <c r="D12" s="23">
        <v>14</v>
      </c>
      <c r="E12" s="25">
        <f t="shared" si="11"/>
        <v>46757</v>
      </c>
      <c r="F12" s="25">
        <f t="shared" si="0"/>
        <v>46771</v>
      </c>
      <c r="G12" s="26">
        <v>14</v>
      </c>
      <c r="H12" s="26">
        <v>14</v>
      </c>
      <c r="I12" s="26">
        <v>6</v>
      </c>
      <c r="J12" s="26">
        <v>10</v>
      </c>
      <c r="K12" s="10">
        <f>(G12*Instellingen!$B$13*Instellingen!$B$7+H12*Instellingen!$B$14+I12*Instellingen!$B$15+J12*Instellingen!$B$16)*Instellingen!$B$6</f>
        <v>29.847999999999999</v>
      </c>
      <c r="L12" s="10">
        <f>(G12*Instellingen!$C$13*Instellingen!$B$7+H12*Instellingen!$C$14+I12*Instellingen!$C$15+J12*Instellingen!$C$16)*Instellingen!$B$6</f>
        <v>45.760000000000005</v>
      </c>
      <c r="M12" s="10">
        <f>(G12*Instellingen!$D$13*Instellingen!$B$7+H12*Instellingen!$D$14+I12*Instellingen!$D$15+J12*Instellingen!$D$16)*Instellingen!$B$6</f>
        <v>75.92</v>
      </c>
      <c r="N12" s="10">
        <f t="shared" si="1"/>
        <v>417.87199999999996</v>
      </c>
      <c r="O12" s="10">
        <f t="shared" si="2"/>
        <v>640.6400000000001</v>
      </c>
      <c r="P12" s="10">
        <f t="shared" si="3"/>
        <v>1062.8800000000001</v>
      </c>
      <c r="Q12" s="8">
        <f>SUMIFS(Vervoer!$F:$F,Vervoer!$A:$A,$A12,Vervoer!$D:$D,"&lt;&gt;Internationaal")*Instellingen!$B$6</f>
        <v>98.8</v>
      </c>
      <c r="R12" s="8">
        <f>SUMIFS(Vervoer!$G:$G,Vervoer!$A:$A,$A12,Vervoer!$D:$D,"&lt;&gt;Internationaal")*Instellingen!$B$6</f>
        <v>140.4</v>
      </c>
      <c r="S12" s="8">
        <f>SUMIFS(Vervoer!$H:$H,Vervoer!$A:$A,$A12,Vervoer!$D:$D,"&lt;&gt;Internationaal")*Instellingen!$B$6</f>
        <v>234</v>
      </c>
      <c r="T12" s="8">
        <f>SUMIFS('Extra''s'!$F:$F,'Extra''s'!$A:$A,$A12,'Extra''s'!$E:$E,"Ja")*Instellingen!$B$6</f>
        <v>27.04</v>
      </c>
      <c r="U12" s="8">
        <f>SUMIFS('Extra''s'!$G:$G,'Extra''s'!$A:$A,$A12,'Extra''s'!$E:$E,"Ja")*Instellingen!$B$6</f>
        <v>36.4</v>
      </c>
      <c r="V12" s="8">
        <f>SUMIFS('Extra''s'!$H:$H,'Extra''s'!$A:$A,$A12,'Extra''s'!$E:$E,"Ja")*Instellingen!$B$6</f>
        <v>44.72</v>
      </c>
      <c r="W12" s="15">
        <f t="shared" si="4"/>
        <v>543.71199999999988</v>
      </c>
      <c r="X12" s="15">
        <f t="shared" si="5"/>
        <v>817.44</v>
      </c>
      <c r="Y12" s="15">
        <f t="shared" si="6"/>
        <v>1341.6000000000001</v>
      </c>
      <c r="Z12" s="10">
        <f t="shared" si="7"/>
        <v>38.836571428571418</v>
      </c>
      <c r="AA12" s="10">
        <f t="shared" si="8"/>
        <v>58.388571428571431</v>
      </c>
      <c r="AB12" s="10">
        <f t="shared" si="9"/>
        <v>95.828571428571436</v>
      </c>
      <c r="AC12" s="26">
        <v>615</v>
      </c>
      <c r="AD12" s="27"/>
      <c r="AE12" s="10" t="str">
        <f t="shared" si="10"/>
        <v/>
      </c>
    </row>
    <row r="13" spans="1:31" x14ac:dyDescent="0.3">
      <c r="A13" s="7" t="s">
        <v>141</v>
      </c>
      <c r="B13" s="7" t="s">
        <v>65</v>
      </c>
      <c r="C13" s="7" t="s">
        <v>142</v>
      </c>
      <c r="D13" s="23">
        <v>24</v>
      </c>
      <c r="E13" s="25">
        <f t="shared" si="11"/>
        <v>46771</v>
      </c>
      <c r="F13" s="25">
        <f t="shared" si="0"/>
        <v>46795</v>
      </c>
      <c r="G13" s="26">
        <v>17</v>
      </c>
      <c r="H13" s="26">
        <v>15</v>
      </c>
      <c r="I13" s="26">
        <v>7</v>
      </c>
      <c r="J13" s="26">
        <v>11</v>
      </c>
      <c r="K13" s="10">
        <f>(G13*Instellingen!$B$13*Instellingen!$B$7+H13*Instellingen!$B$14+I13*Instellingen!$B$15+J13*Instellingen!$B$16)*Instellingen!$B$6</f>
        <v>33.851999999999997</v>
      </c>
      <c r="L13" s="10">
        <f>(G13*Instellingen!$C$13*Instellingen!$B$7+H13*Instellingen!$C$14+I13*Instellingen!$C$15+J13*Instellingen!$C$16)*Instellingen!$B$6</f>
        <v>52</v>
      </c>
      <c r="M13" s="10">
        <f>(G13*Instellingen!$D$13*Instellingen!$B$7+H13*Instellingen!$D$14+I13*Instellingen!$D$15+J13*Instellingen!$D$16)*Instellingen!$B$6</f>
        <v>86.84</v>
      </c>
      <c r="N13" s="10">
        <f t="shared" si="1"/>
        <v>812.44799999999987</v>
      </c>
      <c r="O13" s="10">
        <f t="shared" si="2"/>
        <v>1248</v>
      </c>
      <c r="P13" s="10">
        <f t="shared" si="3"/>
        <v>2084.16</v>
      </c>
      <c r="Q13" s="8">
        <f>SUMIFS(Vervoer!$F:$F,Vervoer!$A:$A,$A13,Vervoer!$D:$D,"&lt;&gt;Internationaal")*Instellingen!$B$6</f>
        <v>156</v>
      </c>
      <c r="R13" s="8">
        <f>SUMIFS(Vervoer!$G:$G,Vervoer!$A:$A,$A13,Vervoer!$D:$D,"&lt;&gt;Internationaal")*Instellingen!$B$6</f>
        <v>213.20000000000002</v>
      </c>
      <c r="S13" s="8">
        <f>SUMIFS(Vervoer!$H:$H,Vervoer!$A:$A,$A13,Vervoer!$D:$D,"&lt;&gt;Internationaal")*Instellingen!$B$6</f>
        <v>338</v>
      </c>
      <c r="T13" s="8">
        <f>SUMIFS('Extra''s'!$F:$F,'Extra''s'!$A:$A,$A13,'Extra''s'!$E:$E,"Ja")*Instellingen!$B$6</f>
        <v>72.8</v>
      </c>
      <c r="U13" s="8">
        <f>SUMIFS('Extra''s'!$G:$G,'Extra''s'!$A:$A,$A13,'Extra''s'!$E:$E,"Ja")*Instellingen!$B$6</f>
        <v>98.8</v>
      </c>
      <c r="V13" s="8">
        <f>SUMIFS('Extra''s'!$H:$H,'Extra''s'!$A:$A,$A13,'Extra''s'!$E:$E,"Ja")*Instellingen!$B$6</f>
        <v>156</v>
      </c>
      <c r="W13" s="15">
        <f t="shared" si="4"/>
        <v>1041.2479999999998</v>
      </c>
      <c r="X13" s="15">
        <f t="shared" si="5"/>
        <v>1560</v>
      </c>
      <c r="Y13" s="15">
        <f t="shared" si="6"/>
        <v>2578.16</v>
      </c>
      <c r="Z13" s="10">
        <f t="shared" si="7"/>
        <v>43.385333333333328</v>
      </c>
      <c r="AA13" s="10">
        <f t="shared" si="8"/>
        <v>65</v>
      </c>
      <c r="AB13" s="10">
        <f t="shared" si="9"/>
        <v>107.42333333333333</v>
      </c>
      <c r="AC13" s="26">
        <v>1200</v>
      </c>
      <c r="AD13" s="27"/>
      <c r="AE13" s="10" t="str">
        <f t="shared" si="10"/>
        <v/>
      </c>
    </row>
    <row r="14" spans="1:31" x14ac:dyDescent="0.3">
      <c r="A14" s="7" t="s">
        <v>143</v>
      </c>
      <c r="B14" s="7" t="s">
        <v>66</v>
      </c>
      <c r="C14" s="7" t="s">
        <v>144</v>
      </c>
      <c r="D14" s="23">
        <v>7</v>
      </c>
      <c r="E14" s="25">
        <f t="shared" si="11"/>
        <v>46795</v>
      </c>
      <c r="F14" s="25">
        <f t="shared" si="0"/>
        <v>46802</v>
      </c>
      <c r="G14" s="26">
        <v>18</v>
      </c>
      <c r="H14" s="26">
        <v>14</v>
      </c>
      <c r="I14" s="26">
        <v>7</v>
      </c>
      <c r="J14" s="26">
        <v>11</v>
      </c>
      <c r="K14" s="10">
        <f>(G14*Instellingen!$B$13*Instellingen!$B$7+H14*Instellingen!$B$14+I14*Instellingen!$B$15+J14*Instellingen!$B$16)*Instellingen!$B$6</f>
        <v>33.695999999999998</v>
      </c>
      <c r="L14" s="10">
        <f>(G14*Instellingen!$C$13*Instellingen!$B$7+H14*Instellingen!$C$14+I14*Instellingen!$C$15+J14*Instellingen!$C$16)*Instellingen!$B$6</f>
        <v>52</v>
      </c>
      <c r="M14" s="10">
        <f>(G14*Instellingen!$D$13*Instellingen!$B$7+H14*Instellingen!$D$14+I14*Instellingen!$D$15+J14*Instellingen!$D$16)*Instellingen!$B$6</f>
        <v>87.36</v>
      </c>
      <c r="N14" s="10">
        <f t="shared" si="1"/>
        <v>235.87199999999999</v>
      </c>
      <c r="O14" s="10">
        <f t="shared" si="2"/>
        <v>364</v>
      </c>
      <c r="P14" s="10">
        <f t="shared" si="3"/>
        <v>611.52</v>
      </c>
      <c r="Q14" s="8">
        <f>SUMIFS(Vervoer!$F:$F,Vervoer!$A:$A,$A14,Vervoer!$D:$D,"&lt;&gt;Internationaal")*Instellingen!$B$6</f>
        <v>72.8</v>
      </c>
      <c r="R14" s="8">
        <f>SUMIFS(Vervoer!$G:$G,Vervoer!$A:$A,$A14,Vervoer!$D:$D,"&lt;&gt;Internationaal")*Instellingen!$B$6</f>
        <v>98.8</v>
      </c>
      <c r="S14" s="8">
        <f>SUMIFS(Vervoer!$H:$H,Vervoer!$A:$A,$A14,Vervoer!$D:$D,"&lt;&gt;Internationaal")*Instellingen!$B$6</f>
        <v>161.20000000000002</v>
      </c>
      <c r="T14" s="8">
        <f>SUMIFS('Extra''s'!$F:$F,'Extra''s'!$A:$A,$A14,'Extra''s'!$E:$E,"Ja")*Instellingen!$B$6</f>
        <v>0</v>
      </c>
      <c r="U14" s="8">
        <f>SUMIFS('Extra''s'!$G:$G,'Extra''s'!$A:$A,$A14,'Extra''s'!$E:$E,"Ja")*Instellingen!$B$6</f>
        <v>0</v>
      </c>
      <c r="V14" s="8">
        <f>SUMIFS('Extra''s'!$H:$H,'Extra''s'!$A:$A,$A14,'Extra''s'!$E:$E,"Ja")*Instellingen!$B$6</f>
        <v>0</v>
      </c>
      <c r="W14" s="15">
        <f t="shared" si="4"/>
        <v>308.67199999999997</v>
      </c>
      <c r="X14" s="15">
        <f t="shared" si="5"/>
        <v>462.8</v>
      </c>
      <c r="Y14" s="15">
        <f t="shared" si="6"/>
        <v>772.72</v>
      </c>
      <c r="Z14" s="10">
        <f t="shared" si="7"/>
        <v>44.095999999999997</v>
      </c>
      <c r="AA14" s="10">
        <f t="shared" si="8"/>
        <v>66.114285714285714</v>
      </c>
      <c r="AB14" s="10">
        <f t="shared" si="9"/>
        <v>110.38857142857144</v>
      </c>
      <c r="AC14" s="26">
        <v>350</v>
      </c>
      <c r="AD14" s="27"/>
      <c r="AE14" s="10" t="str">
        <f t="shared" si="10"/>
        <v/>
      </c>
    </row>
    <row r="15" spans="1:31" x14ac:dyDescent="0.3">
      <c r="A15" s="7" t="s">
        <v>145</v>
      </c>
      <c r="B15" s="7" t="s">
        <v>66</v>
      </c>
      <c r="C15" s="7" t="s">
        <v>146</v>
      </c>
      <c r="D15" s="23">
        <v>5</v>
      </c>
      <c r="E15" s="25">
        <f t="shared" si="11"/>
        <v>46802</v>
      </c>
      <c r="F15" s="25">
        <f t="shared" si="0"/>
        <v>46807</v>
      </c>
      <c r="G15" s="26">
        <v>20</v>
      </c>
      <c r="H15" s="26">
        <v>14</v>
      </c>
      <c r="I15" s="26">
        <v>8</v>
      </c>
      <c r="J15" s="26">
        <v>13</v>
      </c>
      <c r="K15" s="10">
        <f>(G15*Instellingen!$B$13*Instellingen!$B$7+H15*Instellingen!$B$14+I15*Instellingen!$B$15+J15*Instellingen!$B$16)*Instellingen!$B$6</f>
        <v>36.816000000000003</v>
      </c>
      <c r="L15" s="10">
        <f>(G15*Instellingen!$C$13*Instellingen!$B$7+H15*Instellingen!$C$14+I15*Instellingen!$C$15+J15*Instellingen!$C$16)*Instellingen!$B$6</f>
        <v>57.2</v>
      </c>
      <c r="M15" s="10">
        <f>(G15*Instellingen!$D$13*Instellingen!$B$7+H15*Instellingen!$D$14+I15*Instellingen!$D$15+J15*Instellingen!$D$16)*Instellingen!$B$6</f>
        <v>96.2</v>
      </c>
      <c r="N15" s="10">
        <f t="shared" si="1"/>
        <v>184.08</v>
      </c>
      <c r="O15" s="10">
        <f t="shared" si="2"/>
        <v>286</v>
      </c>
      <c r="P15" s="10">
        <f t="shared" si="3"/>
        <v>481</v>
      </c>
      <c r="Q15" s="8">
        <f>SUMIFS(Vervoer!$F:$F,Vervoer!$A:$A,$A15,Vervoer!$D:$D,"&lt;&gt;Internationaal")*Instellingen!$B$6</f>
        <v>36.4</v>
      </c>
      <c r="R15" s="8">
        <f>SUMIFS(Vervoer!$G:$G,Vervoer!$A:$A,$A15,Vervoer!$D:$D,"&lt;&gt;Internationaal")*Instellingen!$B$6</f>
        <v>46.800000000000004</v>
      </c>
      <c r="S15" s="8">
        <f>SUMIFS(Vervoer!$H:$H,Vervoer!$A:$A,$A15,Vervoer!$D:$D,"&lt;&gt;Internationaal")*Instellingen!$B$6</f>
        <v>62.400000000000006</v>
      </c>
      <c r="T15" s="8">
        <f>SUMIFS('Extra''s'!$F:$F,'Extra''s'!$A:$A,$A15,'Extra''s'!$E:$E,"Ja")*Instellingen!$B$6</f>
        <v>0</v>
      </c>
      <c r="U15" s="8">
        <f>SUMIFS('Extra''s'!$G:$G,'Extra''s'!$A:$A,$A15,'Extra''s'!$E:$E,"Ja")*Instellingen!$B$6</f>
        <v>0</v>
      </c>
      <c r="V15" s="8">
        <f>SUMIFS('Extra''s'!$H:$H,'Extra''s'!$A:$A,$A15,'Extra''s'!$E:$E,"Ja")*Instellingen!$B$6</f>
        <v>0</v>
      </c>
      <c r="W15" s="15">
        <f t="shared" si="4"/>
        <v>220.48000000000002</v>
      </c>
      <c r="X15" s="15">
        <f t="shared" si="5"/>
        <v>332.8</v>
      </c>
      <c r="Y15" s="15">
        <f t="shared" si="6"/>
        <v>543.4</v>
      </c>
      <c r="Z15" s="10">
        <f t="shared" si="7"/>
        <v>44.096000000000004</v>
      </c>
      <c r="AA15" s="10">
        <f t="shared" si="8"/>
        <v>66.56</v>
      </c>
      <c r="AB15" s="10">
        <f t="shared" si="9"/>
        <v>108.67999999999999</v>
      </c>
      <c r="AC15" s="26">
        <v>275</v>
      </c>
      <c r="AD15" s="27"/>
      <c r="AE15" s="10" t="str">
        <f t="shared" si="10"/>
        <v/>
      </c>
    </row>
    <row r="16" spans="1:31" x14ac:dyDescent="0.3">
      <c r="A16" s="7" t="s">
        <v>147</v>
      </c>
      <c r="B16" s="7" t="s">
        <v>66</v>
      </c>
      <c r="C16" s="7" t="s">
        <v>148</v>
      </c>
      <c r="D16" s="23">
        <v>4</v>
      </c>
      <c r="E16" s="25">
        <f t="shared" si="11"/>
        <v>46807</v>
      </c>
      <c r="F16" s="25">
        <f t="shared" si="0"/>
        <v>46811</v>
      </c>
      <c r="G16" s="26">
        <v>45</v>
      </c>
      <c r="H16" s="26">
        <v>20</v>
      </c>
      <c r="I16" s="26">
        <v>25</v>
      </c>
      <c r="J16" s="26">
        <v>30</v>
      </c>
      <c r="K16" s="10">
        <f>(G16*Instellingen!$B$13*Instellingen!$B$7+H16*Instellingen!$B$14+I16*Instellingen!$B$15+J16*Instellingen!$B$16)*Instellingen!$B$6</f>
        <v>80.08</v>
      </c>
      <c r="L16" s="10">
        <f>(G16*Instellingen!$C$13*Instellingen!$B$7+H16*Instellingen!$C$14+I16*Instellingen!$C$15+J16*Instellingen!$C$16)*Instellingen!$B$6</f>
        <v>124.80000000000001</v>
      </c>
      <c r="M16" s="10">
        <f>(G16*Instellingen!$D$13*Instellingen!$B$7+H16*Instellingen!$D$14+I16*Instellingen!$D$15+J16*Instellingen!$D$16)*Instellingen!$B$6</f>
        <v>210.6</v>
      </c>
      <c r="N16" s="10">
        <f t="shared" si="1"/>
        <v>320.32</v>
      </c>
      <c r="O16" s="10">
        <f t="shared" si="2"/>
        <v>499.20000000000005</v>
      </c>
      <c r="P16" s="10">
        <f t="shared" si="3"/>
        <v>842.4</v>
      </c>
      <c r="Q16" s="8">
        <f>SUMIFS(Vervoer!$F:$F,Vervoer!$A:$A,$A16,Vervoer!$D:$D,"&lt;&gt;Internationaal")*Instellingen!$B$6</f>
        <v>26</v>
      </c>
      <c r="R16" s="8">
        <f>SUMIFS(Vervoer!$G:$G,Vervoer!$A:$A,$A16,Vervoer!$D:$D,"&lt;&gt;Internationaal")*Instellingen!$B$6</f>
        <v>31.200000000000003</v>
      </c>
      <c r="S16" s="8">
        <f>SUMIFS(Vervoer!$H:$H,Vervoer!$A:$A,$A16,Vervoer!$D:$D,"&lt;&gt;Internationaal")*Instellingen!$B$6</f>
        <v>46.800000000000004</v>
      </c>
      <c r="T16" s="8">
        <f>SUMIFS('Extra''s'!$F:$F,'Extra''s'!$A:$A,$A16,'Extra''s'!$E:$E,"Ja")*Instellingen!$B$6</f>
        <v>98.8</v>
      </c>
      <c r="U16" s="8">
        <f>SUMIFS('Extra''s'!$G:$G,'Extra''s'!$A:$A,$A16,'Extra''s'!$E:$E,"Ja")*Instellingen!$B$6</f>
        <v>124.80000000000001</v>
      </c>
      <c r="V16" s="8">
        <f>SUMIFS('Extra''s'!$H:$H,'Extra''s'!$A:$A,$A16,'Extra''s'!$E:$E,"Ja")*Instellingen!$B$6</f>
        <v>156</v>
      </c>
      <c r="W16" s="15">
        <f t="shared" si="4"/>
        <v>445.12</v>
      </c>
      <c r="X16" s="15">
        <f t="shared" si="5"/>
        <v>655.20000000000005</v>
      </c>
      <c r="Y16" s="15">
        <f t="shared" si="6"/>
        <v>1045.1999999999998</v>
      </c>
      <c r="Z16" s="10">
        <f t="shared" si="7"/>
        <v>111.28</v>
      </c>
      <c r="AA16" s="10">
        <f t="shared" si="8"/>
        <v>163.80000000000001</v>
      </c>
      <c r="AB16" s="10">
        <f t="shared" si="9"/>
        <v>261.29999999999995</v>
      </c>
      <c r="AC16" s="26">
        <v>480</v>
      </c>
      <c r="AD16" s="27"/>
      <c r="AE16" s="10" t="str">
        <f t="shared" si="10"/>
        <v/>
      </c>
    </row>
    <row r="17" spans="1:31" x14ac:dyDescent="0.3">
      <c r="A17" s="7" t="s">
        <v>149</v>
      </c>
      <c r="B17" s="7" t="s">
        <v>66</v>
      </c>
      <c r="C17" s="7" t="s">
        <v>150</v>
      </c>
      <c r="D17" s="23">
        <v>9</v>
      </c>
      <c r="E17" s="25">
        <f t="shared" si="11"/>
        <v>46811</v>
      </c>
      <c r="F17" s="25">
        <f t="shared" si="0"/>
        <v>46820</v>
      </c>
      <c r="G17" s="26">
        <v>22</v>
      </c>
      <c r="H17" s="26">
        <v>15</v>
      </c>
      <c r="I17" s="26">
        <v>10</v>
      </c>
      <c r="J17" s="26">
        <v>18</v>
      </c>
      <c r="K17" s="10">
        <f>(G17*Instellingen!$B$13*Instellingen!$B$7+H17*Instellingen!$B$14+I17*Instellingen!$B$15+J17*Instellingen!$B$16)*Instellingen!$B$6</f>
        <v>43.108000000000004</v>
      </c>
      <c r="L17" s="10">
        <f>(G17*Instellingen!$C$13*Instellingen!$B$7+H17*Instellingen!$C$14+I17*Instellingen!$C$15+J17*Instellingen!$C$16)*Instellingen!$B$6</f>
        <v>67.600000000000009</v>
      </c>
      <c r="M17" s="10">
        <f>(G17*Instellingen!$D$13*Instellingen!$B$7+H17*Instellingen!$D$14+I17*Instellingen!$D$15+J17*Instellingen!$D$16)*Instellingen!$B$6</f>
        <v>112.84</v>
      </c>
      <c r="N17" s="10">
        <f t="shared" si="1"/>
        <v>387.97200000000004</v>
      </c>
      <c r="O17" s="10">
        <f t="shared" si="2"/>
        <v>608.40000000000009</v>
      </c>
      <c r="P17" s="10">
        <f t="shared" si="3"/>
        <v>1015.5600000000001</v>
      </c>
      <c r="Q17" s="8">
        <f>SUMIFS(Vervoer!$F:$F,Vervoer!$A:$A,$A17,Vervoer!$D:$D,"&lt;&gt;Internationaal")*Instellingen!$B$6</f>
        <v>114.4</v>
      </c>
      <c r="R17" s="8">
        <f>SUMIFS(Vervoer!$G:$G,Vervoer!$A:$A,$A17,Vervoer!$D:$D,"&lt;&gt;Internationaal")*Instellingen!$B$6</f>
        <v>166.4</v>
      </c>
      <c r="S17" s="8">
        <f>SUMIFS(Vervoer!$H:$H,Vervoer!$A:$A,$A17,Vervoer!$D:$D,"&lt;&gt;Internationaal")*Instellingen!$B$6</f>
        <v>270.40000000000003</v>
      </c>
      <c r="T17" s="8">
        <f>SUMIFS('Extra''s'!$F:$F,'Extra''s'!$A:$A,$A17,'Extra''s'!$E:$E,"Ja")*Instellingen!$B$6</f>
        <v>104</v>
      </c>
      <c r="U17" s="8">
        <f>SUMIFS('Extra''s'!$G:$G,'Extra''s'!$A:$A,$A17,'Extra''s'!$E:$E,"Ja")*Instellingen!$B$6</f>
        <v>156</v>
      </c>
      <c r="V17" s="8">
        <f>SUMIFS('Extra''s'!$H:$H,'Extra''s'!$A:$A,$A17,'Extra''s'!$E:$E,"Ja")*Instellingen!$B$6</f>
        <v>353.6</v>
      </c>
      <c r="W17" s="15">
        <f t="shared" si="4"/>
        <v>606.37200000000007</v>
      </c>
      <c r="X17" s="15">
        <f t="shared" si="5"/>
        <v>930.80000000000007</v>
      </c>
      <c r="Y17" s="15">
        <f t="shared" si="6"/>
        <v>1639.56</v>
      </c>
      <c r="Z17" s="10">
        <f t="shared" si="7"/>
        <v>67.37466666666667</v>
      </c>
      <c r="AA17" s="10">
        <f t="shared" si="8"/>
        <v>103.42222222222223</v>
      </c>
      <c r="AB17" s="10">
        <f t="shared" si="9"/>
        <v>182.17333333333332</v>
      </c>
      <c r="AC17" s="26">
        <v>585</v>
      </c>
      <c r="AD17" s="27"/>
      <c r="AE17" s="10" t="str">
        <f t="shared" si="10"/>
        <v/>
      </c>
    </row>
    <row r="18" spans="1:31" x14ac:dyDescent="0.3">
      <c r="A18" s="7" t="s">
        <v>151</v>
      </c>
      <c r="B18" s="7" t="s">
        <v>66</v>
      </c>
      <c r="C18" s="7" t="s">
        <v>152</v>
      </c>
      <c r="D18" s="23">
        <v>24</v>
      </c>
      <c r="E18" s="25">
        <f t="shared" si="11"/>
        <v>46820</v>
      </c>
      <c r="F18" s="25">
        <f t="shared" si="0"/>
        <v>46844</v>
      </c>
      <c r="G18" s="26">
        <v>17</v>
      </c>
      <c r="H18" s="26">
        <v>13</v>
      </c>
      <c r="I18" s="26">
        <v>6</v>
      </c>
      <c r="J18" s="26">
        <v>9</v>
      </c>
      <c r="K18" s="10">
        <f>(G18*Instellingen!$B$13*Instellingen!$B$7+H18*Instellingen!$B$14+I18*Instellingen!$B$15+J18*Instellingen!$B$16)*Instellingen!$B$6</f>
        <v>30.42</v>
      </c>
      <c r="L18" s="10">
        <f>(G18*Instellingen!$C$13*Instellingen!$B$7+H18*Instellingen!$C$14+I18*Instellingen!$C$15+J18*Instellingen!$C$16)*Instellingen!$B$6</f>
        <v>46.800000000000004</v>
      </c>
      <c r="M18" s="10">
        <f>(G18*Instellingen!$D$13*Instellingen!$B$7+H18*Instellingen!$D$14+I18*Instellingen!$D$15+J18*Instellingen!$D$16)*Instellingen!$B$6</f>
        <v>79.040000000000006</v>
      </c>
      <c r="N18" s="10">
        <f t="shared" si="1"/>
        <v>730.08</v>
      </c>
      <c r="O18" s="10">
        <f t="shared" si="2"/>
        <v>1123.2</v>
      </c>
      <c r="P18" s="10">
        <f t="shared" si="3"/>
        <v>1896.96</v>
      </c>
      <c r="Q18" s="8">
        <f>SUMIFS(Vervoer!$F:$F,Vervoer!$A:$A,$A18,Vervoer!$D:$D,"&lt;&gt;Internationaal")*Instellingen!$B$6</f>
        <v>312</v>
      </c>
      <c r="R18" s="8">
        <f>SUMIFS(Vervoer!$G:$G,Vervoer!$A:$A,$A18,Vervoer!$D:$D,"&lt;&gt;Internationaal")*Instellingen!$B$6</f>
        <v>473.2</v>
      </c>
      <c r="S18" s="8">
        <f>SUMIFS(Vervoer!$H:$H,Vervoer!$A:$A,$A18,Vervoer!$D:$D,"&lt;&gt;Internationaal")*Instellingen!$B$6</f>
        <v>748.80000000000007</v>
      </c>
      <c r="T18" s="8">
        <f>SUMIFS('Extra''s'!$F:$F,'Extra''s'!$A:$A,$A18,'Extra''s'!$E:$E,"Ja")*Instellingen!$B$6</f>
        <v>270.40000000000003</v>
      </c>
      <c r="U18" s="8">
        <f>SUMIFS('Extra''s'!$G:$G,'Extra''s'!$A:$A,$A18,'Extra''s'!$E:$E,"Ja")*Instellingen!$B$6</f>
        <v>369.2</v>
      </c>
      <c r="V18" s="8">
        <f>SUMIFS('Extra''s'!$H:$H,'Extra''s'!$A:$A,$A18,'Extra''s'!$E:$E,"Ja")*Instellingen!$B$6</f>
        <v>821.6</v>
      </c>
      <c r="W18" s="15">
        <f t="shared" si="4"/>
        <v>1312.48</v>
      </c>
      <c r="X18" s="15">
        <f t="shared" si="5"/>
        <v>1965.6000000000001</v>
      </c>
      <c r="Y18" s="15">
        <f t="shared" si="6"/>
        <v>3467.36</v>
      </c>
      <c r="Z18" s="10">
        <f t="shared" si="7"/>
        <v>54.686666666666667</v>
      </c>
      <c r="AA18" s="10">
        <f t="shared" si="8"/>
        <v>81.900000000000006</v>
      </c>
      <c r="AB18" s="10">
        <f t="shared" si="9"/>
        <v>144.47333333333333</v>
      </c>
      <c r="AC18" s="26">
        <v>1085</v>
      </c>
      <c r="AD18" s="27"/>
      <c r="AE18" s="10" t="str">
        <f t="shared" si="10"/>
        <v/>
      </c>
    </row>
    <row r="19" spans="1:31" x14ac:dyDescent="0.3">
      <c r="A19" s="7" t="s">
        <v>153</v>
      </c>
      <c r="B19" s="7" t="s">
        <v>67</v>
      </c>
      <c r="C19" s="7" t="s">
        <v>154</v>
      </c>
      <c r="D19" s="23">
        <v>49</v>
      </c>
      <c r="E19" s="25">
        <f t="shared" si="11"/>
        <v>46844</v>
      </c>
      <c r="F19" s="25">
        <f t="shared" si="0"/>
        <v>46893</v>
      </c>
      <c r="G19" s="26">
        <v>15</v>
      </c>
      <c r="H19" s="26">
        <v>13</v>
      </c>
      <c r="I19" s="26">
        <v>7</v>
      </c>
      <c r="J19" s="26">
        <v>10</v>
      </c>
      <c r="K19" s="10">
        <f>(G19*Instellingen!$B$13*Instellingen!$B$7+H19*Instellingen!$B$14+I19*Instellingen!$B$15+J19*Instellingen!$B$16)*Instellingen!$B$6</f>
        <v>30.524000000000001</v>
      </c>
      <c r="L19" s="10">
        <f>(G19*Instellingen!$C$13*Instellingen!$B$7+H19*Instellingen!$C$14+I19*Instellingen!$C$15+J19*Instellingen!$C$16)*Instellingen!$B$6</f>
        <v>46.800000000000004</v>
      </c>
      <c r="M19" s="10">
        <f>(G19*Instellingen!$D$13*Instellingen!$B$7+H19*Instellingen!$D$14+I19*Instellingen!$D$15+J19*Instellingen!$D$16)*Instellingen!$B$6</f>
        <v>78</v>
      </c>
      <c r="N19" s="10">
        <f t="shared" si="1"/>
        <v>1495.6759999999999</v>
      </c>
      <c r="O19" s="10">
        <f t="shared" si="2"/>
        <v>2293.2000000000003</v>
      </c>
      <c r="P19" s="10">
        <f t="shared" si="3"/>
        <v>3822</v>
      </c>
      <c r="Q19" s="8">
        <f>SUMIFS(Vervoer!$F:$F,Vervoer!$A:$A,$A19,Vervoer!$D:$D,"&lt;&gt;Internationaal")*Instellingen!$B$6</f>
        <v>452.40000000000003</v>
      </c>
      <c r="R19" s="8">
        <f>SUMIFS(Vervoer!$G:$G,Vervoer!$A:$A,$A19,Vervoer!$D:$D,"&lt;&gt;Internationaal")*Instellingen!$B$6</f>
        <v>603.20000000000005</v>
      </c>
      <c r="S19" s="8">
        <f>SUMIFS(Vervoer!$H:$H,Vervoer!$A:$A,$A19,Vervoer!$D:$D,"&lt;&gt;Internationaal")*Instellingen!$B$6</f>
        <v>816.4</v>
      </c>
      <c r="T19" s="8">
        <f>SUMIFS('Extra''s'!$F:$F,'Extra''s'!$A:$A,$A19,'Extra''s'!$E:$E,"Ja")*Instellingen!$B$6</f>
        <v>356.72</v>
      </c>
      <c r="U19" s="8">
        <f>SUMIFS('Extra''s'!$G:$G,'Extra''s'!$A:$A,$A19,'Extra''s'!$E:$E,"Ja")*Instellingen!$B$6</f>
        <v>502.32</v>
      </c>
      <c r="V19" s="8">
        <f>SUMIFS('Extra''s'!$H:$H,'Extra''s'!$A:$A,$A19,'Extra''s'!$E:$E,"Ja")*Instellingen!$B$6</f>
        <v>832</v>
      </c>
      <c r="W19" s="15">
        <f t="shared" si="4"/>
        <v>2304.7960000000003</v>
      </c>
      <c r="X19" s="15">
        <f t="shared" si="5"/>
        <v>3398.7200000000007</v>
      </c>
      <c r="Y19" s="15">
        <f t="shared" si="6"/>
        <v>5470.4</v>
      </c>
      <c r="Z19" s="10">
        <f t="shared" si="7"/>
        <v>47.036653061224499</v>
      </c>
      <c r="AA19" s="10">
        <f t="shared" si="8"/>
        <v>69.361632653061235</v>
      </c>
      <c r="AB19" s="10">
        <f t="shared" si="9"/>
        <v>111.64081632653061</v>
      </c>
      <c r="AC19" s="26">
        <v>2205</v>
      </c>
      <c r="AD19" s="27"/>
      <c r="AE19" s="10" t="str">
        <f t="shared" si="10"/>
        <v/>
      </c>
    </row>
    <row r="20" spans="1:31" x14ac:dyDescent="0.3">
      <c r="A20" s="7" t="s">
        <v>155</v>
      </c>
      <c r="B20" s="7" t="s">
        <v>67</v>
      </c>
      <c r="C20" s="7" t="s">
        <v>156</v>
      </c>
      <c r="D20" s="23">
        <v>7</v>
      </c>
      <c r="E20" s="25">
        <f t="shared" si="11"/>
        <v>46893</v>
      </c>
      <c r="F20" s="25">
        <f t="shared" si="0"/>
        <v>46900</v>
      </c>
      <c r="G20" s="26">
        <v>25</v>
      </c>
      <c r="H20" s="26">
        <v>15</v>
      </c>
      <c r="I20" s="26">
        <v>10</v>
      </c>
      <c r="J20" s="26">
        <v>7</v>
      </c>
      <c r="K20" s="10">
        <f>(G20*Instellingen!$B$13*Instellingen!$B$7+H20*Instellingen!$B$14+I20*Instellingen!$B$15+J20*Instellingen!$B$16)*Instellingen!$B$6</f>
        <v>39.26</v>
      </c>
      <c r="L20" s="10">
        <f>(G20*Instellingen!$C$13*Instellingen!$B$7+H20*Instellingen!$C$14+I20*Instellingen!$C$15+J20*Instellingen!$C$16)*Instellingen!$B$6</f>
        <v>59.28</v>
      </c>
      <c r="M20" s="10">
        <f>(G20*Instellingen!$D$13*Instellingen!$B$7+H20*Instellingen!$D$14+I20*Instellingen!$D$15+J20*Instellingen!$D$16)*Instellingen!$B$6</f>
        <v>101.92</v>
      </c>
      <c r="N20" s="10">
        <f t="shared" si="1"/>
        <v>274.82</v>
      </c>
      <c r="O20" s="10">
        <f t="shared" si="2"/>
        <v>414.96000000000004</v>
      </c>
      <c r="P20" s="10">
        <f t="shared" si="3"/>
        <v>713.44</v>
      </c>
      <c r="Q20" s="8">
        <f>SUMIFS(Vervoer!$F:$F,Vervoer!$A:$A,$A20,Vervoer!$D:$D,"&lt;&gt;Internationaal")*Instellingen!$B$6</f>
        <v>312</v>
      </c>
      <c r="R20" s="8">
        <f>SUMIFS(Vervoer!$G:$G,Vervoer!$A:$A,$A20,Vervoer!$D:$D,"&lt;&gt;Internationaal")*Instellingen!$B$6</f>
        <v>374.40000000000003</v>
      </c>
      <c r="S20" s="8">
        <f>SUMIFS(Vervoer!$H:$H,Vervoer!$A:$A,$A20,Vervoer!$D:$D,"&lt;&gt;Internationaal")*Instellingen!$B$6</f>
        <v>499.20000000000005</v>
      </c>
      <c r="T20" s="8">
        <f>SUMIFS('Extra''s'!$F:$F,'Extra''s'!$A:$A,$A20,'Extra''s'!$E:$E,"Ja")*Instellingen!$B$6</f>
        <v>26</v>
      </c>
      <c r="U20" s="8">
        <f>SUMIFS('Extra''s'!$G:$G,'Extra''s'!$A:$A,$A20,'Extra''s'!$E:$E,"Ja")*Instellingen!$B$6</f>
        <v>104</v>
      </c>
      <c r="V20" s="8">
        <f>SUMIFS('Extra''s'!$H:$H,'Extra''s'!$A:$A,$A20,'Extra''s'!$E:$E,"Ja")*Instellingen!$B$6</f>
        <v>156</v>
      </c>
      <c r="W20" s="15">
        <f t="shared" si="4"/>
        <v>612.81999999999994</v>
      </c>
      <c r="X20" s="15">
        <f t="shared" si="5"/>
        <v>893.36000000000013</v>
      </c>
      <c r="Y20" s="15">
        <f t="shared" si="6"/>
        <v>1368.64</v>
      </c>
      <c r="Z20" s="10">
        <f t="shared" si="7"/>
        <v>87.545714285714283</v>
      </c>
      <c r="AA20" s="10">
        <f t="shared" si="8"/>
        <v>127.62285714285716</v>
      </c>
      <c r="AB20" s="10">
        <f t="shared" si="9"/>
        <v>195.52</v>
      </c>
      <c r="AC20" s="26">
        <v>400</v>
      </c>
      <c r="AD20" s="27"/>
      <c r="AE20" s="10" t="str">
        <f t="shared" si="10"/>
        <v/>
      </c>
    </row>
    <row r="21" spans="1:31" x14ac:dyDescent="0.3">
      <c r="A21" s="7" t="s">
        <v>157</v>
      </c>
      <c r="B21" s="7" t="s">
        <v>68</v>
      </c>
      <c r="C21" s="7" t="s">
        <v>68</v>
      </c>
      <c r="D21" s="23">
        <v>4</v>
      </c>
      <c r="E21" s="25">
        <f t="shared" si="11"/>
        <v>46900</v>
      </c>
      <c r="F21" s="25">
        <f t="shared" si="0"/>
        <v>46904</v>
      </c>
      <c r="G21" s="26">
        <v>50</v>
      </c>
      <c r="H21" s="26">
        <v>30</v>
      </c>
      <c r="I21" s="26">
        <v>10</v>
      </c>
      <c r="J21" s="26">
        <v>35</v>
      </c>
      <c r="K21" s="10">
        <f>(G21*Instellingen!$B$13*Instellingen!$B$7+H21*Instellingen!$B$14+I21*Instellingen!$B$15+J21*Instellingen!$B$16)*Instellingen!$B$6</f>
        <v>81.12</v>
      </c>
      <c r="L21" s="10">
        <f>(G21*Instellingen!$C$13*Instellingen!$B$7+H21*Instellingen!$C$14+I21*Instellingen!$C$15+J21*Instellingen!$C$16)*Instellingen!$B$6</f>
        <v>130</v>
      </c>
      <c r="M21" s="10">
        <f>(G21*Instellingen!$D$13*Instellingen!$B$7+H21*Instellingen!$D$14+I21*Instellingen!$D$15+J21*Instellingen!$D$16)*Instellingen!$B$6</f>
        <v>221</v>
      </c>
      <c r="N21" s="10">
        <f t="shared" si="1"/>
        <v>324.48</v>
      </c>
      <c r="O21" s="10">
        <f t="shared" si="2"/>
        <v>520</v>
      </c>
      <c r="P21" s="10">
        <f t="shared" si="3"/>
        <v>884</v>
      </c>
      <c r="Q21" s="8">
        <f>SUMIFS(Vervoer!$F:$F,Vervoer!$A:$A,$A21,Vervoer!$D:$D,"&lt;&gt;Internationaal")*Instellingen!$B$6</f>
        <v>0</v>
      </c>
      <c r="R21" s="8">
        <f>SUMIFS(Vervoer!$G:$G,Vervoer!$A:$A,$A21,Vervoer!$D:$D,"&lt;&gt;Internationaal")*Instellingen!$B$6</f>
        <v>0</v>
      </c>
      <c r="S21" s="8">
        <f>SUMIFS(Vervoer!$H:$H,Vervoer!$A:$A,$A21,Vervoer!$D:$D,"&lt;&gt;Internationaal")*Instellingen!$B$6</f>
        <v>0</v>
      </c>
      <c r="T21" s="8">
        <f>SUMIFS('Extra''s'!$F:$F,'Extra''s'!$A:$A,$A21,'Extra''s'!$E:$E,"Ja")*Instellingen!$B$6</f>
        <v>0</v>
      </c>
      <c r="U21" s="8">
        <f>SUMIFS('Extra''s'!$G:$G,'Extra''s'!$A:$A,$A21,'Extra''s'!$E:$E,"Ja")*Instellingen!$B$6</f>
        <v>0</v>
      </c>
      <c r="V21" s="8">
        <f>SUMIFS('Extra''s'!$H:$H,'Extra''s'!$A:$A,$A21,'Extra''s'!$E:$E,"Ja")*Instellingen!$B$6</f>
        <v>0</v>
      </c>
      <c r="W21" s="15">
        <f t="shared" si="4"/>
        <v>324.48</v>
      </c>
      <c r="X21" s="15">
        <f t="shared" si="5"/>
        <v>520</v>
      </c>
      <c r="Y21" s="15">
        <f t="shared" si="6"/>
        <v>884</v>
      </c>
      <c r="Z21" s="10">
        <f t="shared" si="7"/>
        <v>81.12</v>
      </c>
      <c r="AA21" s="10">
        <f t="shared" si="8"/>
        <v>130</v>
      </c>
      <c r="AB21" s="10">
        <f t="shared" si="9"/>
        <v>221</v>
      </c>
      <c r="AC21" s="26">
        <v>500</v>
      </c>
      <c r="AD21" s="27"/>
      <c r="AE21" s="10" t="str">
        <f t="shared" si="10"/>
        <v/>
      </c>
    </row>
    <row r="22" spans="1:31" x14ac:dyDescent="0.3">
      <c r="A22" s="28" t="s">
        <v>158</v>
      </c>
      <c r="D22" s="29">
        <f>SUM(D5:D21)</f>
        <v>290</v>
      </c>
      <c r="F22" s="30">
        <f>F21</f>
        <v>46904</v>
      </c>
      <c r="N22" s="31">
        <f t="shared" ref="N22:Y22" si="12">SUM(N5:N21)</f>
        <v>12650.871999999998</v>
      </c>
      <c r="O22" s="31">
        <f t="shared" si="12"/>
        <v>19443.84</v>
      </c>
      <c r="P22" s="31">
        <f t="shared" si="12"/>
        <v>32731.919999999998</v>
      </c>
      <c r="Q22" s="31">
        <f t="shared" si="12"/>
        <v>3187.6000000000004</v>
      </c>
      <c r="R22" s="31">
        <f t="shared" si="12"/>
        <v>4280.6399999999994</v>
      </c>
      <c r="S22" s="31">
        <f t="shared" si="12"/>
        <v>6354.4</v>
      </c>
      <c r="T22" s="31">
        <f t="shared" si="12"/>
        <v>2303.6000000000004</v>
      </c>
      <c r="U22" s="31">
        <f t="shared" si="12"/>
        <v>3240.64</v>
      </c>
      <c r="V22" s="31">
        <f t="shared" si="12"/>
        <v>5232.24</v>
      </c>
      <c r="W22" s="31">
        <f t="shared" si="12"/>
        <v>18142.072</v>
      </c>
      <c r="X22" s="31">
        <f t="shared" si="12"/>
        <v>26965.119999999999</v>
      </c>
      <c r="Y22" s="31">
        <f t="shared" si="12"/>
        <v>44318.559999999998</v>
      </c>
      <c r="Z22" s="31">
        <f t="shared" si="7"/>
        <v>62.558868965517242</v>
      </c>
      <c r="AA22" s="31">
        <f t="shared" si="8"/>
        <v>92.983172413793099</v>
      </c>
      <c r="AB22" s="31">
        <f t="shared" si="9"/>
        <v>152.82262068965517</v>
      </c>
      <c r="AC22" s="31">
        <f>SUM(AC5:AC21)</f>
        <v>18700</v>
      </c>
      <c r="AD22" s="31">
        <f>SUM(AD5:AD21)</f>
        <v>0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9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8" customWidth="1"/>
    <col min="2" max="3" width="22" customWidth="1"/>
    <col min="4" max="4" width="15" customWidth="1"/>
    <col min="5" max="5" width="42" customWidth="1"/>
    <col min="6" max="8" width="10" customWidth="1"/>
    <col min="9" max="9" width="16" customWidth="1"/>
    <col min="10" max="10" width="12" customWidth="1"/>
    <col min="11" max="11" width="90" customWidth="1"/>
  </cols>
  <sheetData>
    <row r="1" spans="1:11" ht="17.399999999999999" x14ac:dyDescent="0.3">
      <c r="A1" s="1" t="s">
        <v>159</v>
      </c>
    </row>
    <row r="2" spans="1:11" x14ac:dyDescent="0.3">
      <c r="A2" s="2" t="s">
        <v>160</v>
      </c>
    </row>
    <row r="4" spans="1:11" ht="31.95" customHeight="1" x14ac:dyDescent="0.3">
      <c r="A4" s="22" t="s">
        <v>96</v>
      </c>
      <c r="B4" s="22" t="s">
        <v>99</v>
      </c>
      <c r="C4" s="22" t="s">
        <v>161</v>
      </c>
      <c r="D4" s="22" t="s">
        <v>162</v>
      </c>
      <c r="E4" s="22" t="s">
        <v>163</v>
      </c>
      <c r="F4" s="22" t="s">
        <v>25</v>
      </c>
      <c r="G4" s="22" t="s">
        <v>26</v>
      </c>
      <c r="H4" s="22" t="s">
        <v>27</v>
      </c>
      <c r="I4" s="22" t="s">
        <v>164</v>
      </c>
      <c r="J4" s="22" t="s">
        <v>165</v>
      </c>
      <c r="K4" s="22" t="s">
        <v>166</v>
      </c>
    </row>
    <row r="5" spans="1:11" x14ac:dyDescent="0.3">
      <c r="A5" s="7" t="s">
        <v>126</v>
      </c>
      <c r="B5" s="7" t="s">
        <v>167</v>
      </c>
      <c r="C5" s="7" t="s">
        <v>168</v>
      </c>
      <c r="D5" s="7" t="s">
        <v>169</v>
      </c>
      <c r="E5" s="7" t="s">
        <v>170</v>
      </c>
      <c r="F5" s="26">
        <v>450</v>
      </c>
      <c r="G5" s="26">
        <v>560</v>
      </c>
      <c r="H5" s="26">
        <v>750</v>
      </c>
      <c r="I5" s="32" t="s">
        <v>171</v>
      </c>
      <c r="J5" s="27"/>
      <c r="K5" s="2" t="s">
        <v>172</v>
      </c>
    </row>
    <row r="6" spans="1:11" x14ac:dyDescent="0.3">
      <c r="A6" s="7" t="s">
        <v>126</v>
      </c>
      <c r="B6" s="7" t="s">
        <v>168</v>
      </c>
      <c r="C6" s="7" t="s">
        <v>173</v>
      </c>
      <c r="D6" s="7" t="s">
        <v>174</v>
      </c>
      <c r="E6" s="7" t="s">
        <v>175</v>
      </c>
      <c r="F6" s="26">
        <v>200</v>
      </c>
      <c r="G6" s="26">
        <v>240</v>
      </c>
      <c r="H6" s="26">
        <v>310</v>
      </c>
      <c r="I6" s="32" t="s">
        <v>176</v>
      </c>
      <c r="J6" s="27"/>
      <c r="K6" s="2" t="s">
        <v>177</v>
      </c>
    </row>
    <row r="7" spans="1:11" x14ac:dyDescent="0.3">
      <c r="A7" s="7" t="s">
        <v>126</v>
      </c>
      <c r="B7" s="7" t="s">
        <v>168</v>
      </c>
      <c r="C7" s="7" t="s">
        <v>178</v>
      </c>
      <c r="D7" s="7" t="s">
        <v>174</v>
      </c>
      <c r="E7" s="7" t="s">
        <v>179</v>
      </c>
      <c r="F7" s="26">
        <v>30</v>
      </c>
      <c r="G7" s="26">
        <v>45</v>
      </c>
      <c r="H7" s="26">
        <v>80</v>
      </c>
      <c r="I7" s="32" t="s">
        <v>180</v>
      </c>
      <c r="J7" s="27"/>
      <c r="K7" s="2" t="s">
        <v>181</v>
      </c>
    </row>
    <row r="8" spans="1:11" x14ac:dyDescent="0.3">
      <c r="A8" s="7" t="s">
        <v>126</v>
      </c>
      <c r="B8" s="7" t="s">
        <v>168</v>
      </c>
      <c r="C8" s="7" t="s">
        <v>182</v>
      </c>
      <c r="D8" s="7" t="s">
        <v>183</v>
      </c>
      <c r="E8" s="7" t="s">
        <v>184</v>
      </c>
      <c r="F8" s="26">
        <v>130</v>
      </c>
      <c r="G8" s="26">
        <v>160</v>
      </c>
      <c r="H8" s="26">
        <v>250</v>
      </c>
      <c r="I8" s="32" t="s">
        <v>180</v>
      </c>
      <c r="J8" s="27"/>
      <c r="K8" s="2" t="s">
        <v>185</v>
      </c>
    </row>
    <row r="9" spans="1:11" x14ac:dyDescent="0.3">
      <c r="A9" s="7" t="s">
        <v>128</v>
      </c>
      <c r="B9" s="7" t="s">
        <v>182</v>
      </c>
      <c r="C9" s="7" t="s">
        <v>186</v>
      </c>
      <c r="D9" s="7" t="s">
        <v>174</v>
      </c>
      <c r="E9" s="7" t="s">
        <v>187</v>
      </c>
      <c r="F9" s="26">
        <v>250</v>
      </c>
      <c r="G9" s="26">
        <v>320</v>
      </c>
      <c r="H9" s="26">
        <v>500</v>
      </c>
      <c r="I9" s="32" t="s">
        <v>171</v>
      </c>
      <c r="J9" s="27"/>
      <c r="K9" s="2" t="s">
        <v>188</v>
      </c>
    </row>
    <row r="10" spans="1:11" x14ac:dyDescent="0.3">
      <c r="A10" s="7" t="s">
        <v>128</v>
      </c>
      <c r="B10" s="7" t="s">
        <v>189</v>
      </c>
      <c r="C10" s="7" t="s">
        <v>190</v>
      </c>
      <c r="D10" s="7" t="s">
        <v>183</v>
      </c>
      <c r="E10" s="7" t="s">
        <v>191</v>
      </c>
      <c r="F10" s="26">
        <v>100</v>
      </c>
      <c r="G10" s="26">
        <v>130</v>
      </c>
      <c r="H10" s="26">
        <v>190</v>
      </c>
      <c r="I10" s="32" t="s">
        <v>171</v>
      </c>
      <c r="J10" s="27"/>
      <c r="K10" s="2" t="s">
        <v>192</v>
      </c>
    </row>
    <row r="11" spans="1:11" x14ac:dyDescent="0.3">
      <c r="A11" s="7" t="s">
        <v>130</v>
      </c>
      <c r="B11" s="7" t="s">
        <v>193</v>
      </c>
      <c r="C11" s="7" t="s">
        <v>194</v>
      </c>
      <c r="D11" s="7" t="s">
        <v>174</v>
      </c>
      <c r="E11" s="7" t="s">
        <v>195</v>
      </c>
      <c r="F11" s="26">
        <v>30</v>
      </c>
      <c r="G11" s="26">
        <v>57</v>
      </c>
      <c r="H11" s="26">
        <v>95</v>
      </c>
      <c r="I11" s="32" t="s">
        <v>176</v>
      </c>
      <c r="J11" s="27"/>
      <c r="K11" s="2" t="s">
        <v>196</v>
      </c>
    </row>
    <row r="12" spans="1:11" x14ac:dyDescent="0.3">
      <c r="A12" s="7" t="s">
        <v>130</v>
      </c>
      <c r="B12" s="7" t="s">
        <v>197</v>
      </c>
      <c r="C12" s="7" t="s">
        <v>198</v>
      </c>
      <c r="D12" s="7" t="s">
        <v>183</v>
      </c>
      <c r="E12" s="7" t="s">
        <v>199</v>
      </c>
      <c r="F12" s="26">
        <v>50</v>
      </c>
      <c r="G12" s="26">
        <v>75</v>
      </c>
      <c r="H12" s="26">
        <v>130</v>
      </c>
      <c r="I12" s="32" t="s">
        <v>176</v>
      </c>
      <c r="J12" s="27"/>
      <c r="K12" s="2" t="s">
        <v>200</v>
      </c>
    </row>
    <row r="13" spans="1:11" x14ac:dyDescent="0.3">
      <c r="A13" s="7" t="s">
        <v>132</v>
      </c>
      <c r="B13" s="7" t="s">
        <v>198</v>
      </c>
      <c r="C13" s="7" t="s">
        <v>201</v>
      </c>
      <c r="D13" s="7" t="s">
        <v>174</v>
      </c>
      <c r="E13" s="7" t="s">
        <v>202</v>
      </c>
      <c r="F13" s="26">
        <v>270</v>
      </c>
      <c r="G13" s="26">
        <v>370</v>
      </c>
      <c r="H13" s="26">
        <v>490</v>
      </c>
      <c r="I13" s="32" t="s">
        <v>171</v>
      </c>
      <c r="J13" s="27"/>
      <c r="K13" s="2" t="s">
        <v>203</v>
      </c>
    </row>
    <row r="14" spans="1:11" x14ac:dyDescent="0.3">
      <c r="A14" s="7" t="s">
        <v>132</v>
      </c>
      <c r="B14" s="7" t="s">
        <v>204</v>
      </c>
      <c r="C14" s="7" t="s">
        <v>205</v>
      </c>
      <c r="D14" s="7" t="s">
        <v>183</v>
      </c>
      <c r="E14" s="7" t="s">
        <v>206</v>
      </c>
      <c r="F14" s="26">
        <v>80</v>
      </c>
      <c r="G14" s="26">
        <v>115</v>
      </c>
      <c r="H14" s="26">
        <v>190</v>
      </c>
      <c r="I14" s="32" t="s">
        <v>180</v>
      </c>
      <c r="J14" s="27"/>
      <c r="K14" s="2" t="s">
        <v>207</v>
      </c>
    </row>
    <row r="15" spans="1:11" x14ac:dyDescent="0.3">
      <c r="A15" s="7" t="s">
        <v>134</v>
      </c>
      <c r="B15" s="7" t="s">
        <v>205</v>
      </c>
      <c r="C15" s="7" t="s">
        <v>208</v>
      </c>
      <c r="D15" s="7" t="s">
        <v>174</v>
      </c>
      <c r="E15" s="7" t="s">
        <v>209</v>
      </c>
      <c r="F15" s="26">
        <v>90</v>
      </c>
      <c r="G15" s="26">
        <v>111</v>
      </c>
      <c r="H15" s="26">
        <v>170</v>
      </c>
      <c r="I15" s="32" t="s">
        <v>171</v>
      </c>
      <c r="J15" s="27"/>
      <c r="K15" s="2" t="s">
        <v>210</v>
      </c>
    </row>
    <row r="16" spans="1:11" x14ac:dyDescent="0.3">
      <c r="A16" s="7" t="s">
        <v>134</v>
      </c>
      <c r="B16" s="7" t="s">
        <v>211</v>
      </c>
      <c r="C16" s="7" t="s">
        <v>212</v>
      </c>
      <c r="D16" s="7" t="s">
        <v>183</v>
      </c>
      <c r="E16" s="7" t="s">
        <v>213</v>
      </c>
      <c r="F16" s="26">
        <v>85</v>
      </c>
      <c r="G16" s="26">
        <v>115</v>
      </c>
      <c r="H16" s="26">
        <v>170</v>
      </c>
      <c r="I16" s="32" t="s">
        <v>176</v>
      </c>
      <c r="J16" s="27"/>
      <c r="K16" s="2" t="s">
        <v>214</v>
      </c>
    </row>
    <row r="17" spans="1:11" x14ac:dyDescent="0.3">
      <c r="A17" s="7" t="s">
        <v>135</v>
      </c>
      <c r="B17" s="7" t="s">
        <v>212</v>
      </c>
      <c r="C17" s="7" t="s">
        <v>215</v>
      </c>
      <c r="D17" s="7" t="s">
        <v>174</v>
      </c>
      <c r="E17" s="7" t="s">
        <v>216</v>
      </c>
      <c r="F17" s="26">
        <v>160</v>
      </c>
      <c r="G17" s="26">
        <v>210</v>
      </c>
      <c r="H17" s="26">
        <v>310</v>
      </c>
      <c r="I17" s="32" t="s">
        <v>171</v>
      </c>
      <c r="J17" s="27"/>
      <c r="K17" s="2" t="s">
        <v>217</v>
      </c>
    </row>
    <row r="18" spans="1:11" x14ac:dyDescent="0.3">
      <c r="A18" s="7" t="s">
        <v>135</v>
      </c>
      <c r="B18" s="7" t="s">
        <v>215</v>
      </c>
      <c r="C18" s="7" t="s">
        <v>218</v>
      </c>
      <c r="D18" s="7" t="s">
        <v>183</v>
      </c>
      <c r="E18" s="7" t="s">
        <v>219</v>
      </c>
      <c r="F18" s="26">
        <v>25</v>
      </c>
      <c r="G18" s="26">
        <v>38</v>
      </c>
      <c r="H18" s="26">
        <v>55</v>
      </c>
      <c r="I18" s="32" t="s">
        <v>176</v>
      </c>
      <c r="J18" s="27"/>
      <c r="K18" s="2" t="s">
        <v>220</v>
      </c>
    </row>
    <row r="19" spans="1:11" x14ac:dyDescent="0.3">
      <c r="A19" s="7" t="s">
        <v>137</v>
      </c>
      <c r="B19" s="7" t="s">
        <v>218</v>
      </c>
      <c r="C19" s="7" t="s">
        <v>221</v>
      </c>
      <c r="D19" s="7" t="s">
        <v>174</v>
      </c>
      <c r="E19" s="7" t="s">
        <v>222</v>
      </c>
      <c r="F19" s="26">
        <v>30</v>
      </c>
      <c r="G19" s="26">
        <v>45</v>
      </c>
      <c r="H19" s="26">
        <v>80</v>
      </c>
      <c r="I19" s="32" t="s">
        <v>180</v>
      </c>
      <c r="J19" s="27"/>
      <c r="K19" s="2" t="s">
        <v>223</v>
      </c>
    </row>
    <row r="20" spans="1:11" x14ac:dyDescent="0.3">
      <c r="A20" s="7" t="s">
        <v>137</v>
      </c>
      <c r="B20" s="7" t="s">
        <v>224</v>
      </c>
      <c r="C20" s="7" t="s">
        <v>225</v>
      </c>
      <c r="D20" s="7" t="s">
        <v>183</v>
      </c>
      <c r="E20" s="7" t="s">
        <v>226</v>
      </c>
      <c r="F20" s="26">
        <v>15</v>
      </c>
      <c r="G20" s="26">
        <v>20</v>
      </c>
      <c r="H20" s="26">
        <v>35</v>
      </c>
      <c r="I20" s="32" t="s">
        <v>180</v>
      </c>
      <c r="J20" s="27"/>
      <c r="K20" s="2" t="s">
        <v>227</v>
      </c>
    </row>
    <row r="21" spans="1:11" x14ac:dyDescent="0.3">
      <c r="A21" s="7" t="s">
        <v>139</v>
      </c>
      <c r="B21" s="7" t="s">
        <v>225</v>
      </c>
      <c r="C21" s="7" t="s">
        <v>228</v>
      </c>
      <c r="D21" s="7" t="s">
        <v>174</v>
      </c>
      <c r="E21" s="7" t="s">
        <v>229</v>
      </c>
      <c r="F21" s="26">
        <v>60</v>
      </c>
      <c r="G21" s="26">
        <v>85</v>
      </c>
      <c r="H21" s="26">
        <v>140</v>
      </c>
      <c r="I21" s="32" t="s">
        <v>180</v>
      </c>
      <c r="J21" s="27"/>
      <c r="K21" s="2" t="s">
        <v>223</v>
      </c>
    </row>
    <row r="22" spans="1:11" x14ac:dyDescent="0.3">
      <c r="A22" s="7" t="s">
        <v>139</v>
      </c>
      <c r="B22" s="7" t="s">
        <v>230</v>
      </c>
      <c r="C22" s="7" t="s">
        <v>231</v>
      </c>
      <c r="D22" s="7" t="s">
        <v>183</v>
      </c>
      <c r="E22" s="7" t="s">
        <v>232</v>
      </c>
      <c r="F22" s="26">
        <v>35</v>
      </c>
      <c r="G22" s="26">
        <v>50</v>
      </c>
      <c r="H22" s="26">
        <v>85</v>
      </c>
      <c r="I22" s="32" t="s">
        <v>176</v>
      </c>
      <c r="J22" s="27"/>
      <c r="K22" s="2" t="s">
        <v>233</v>
      </c>
    </row>
    <row r="23" spans="1:11" x14ac:dyDescent="0.3">
      <c r="A23" s="7" t="s">
        <v>141</v>
      </c>
      <c r="B23" s="7" t="s">
        <v>234</v>
      </c>
      <c r="C23" s="7" t="s">
        <v>235</v>
      </c>
      <c r="D23" s="7" t="s">
        <v>174</v>
      </c>
      <c r="E23" s="7" t="s">
        <v>236</v>
      </c>
      <c r="F23" s="26">
        <v>120</v>
      </c>
      <c r="G23" s="26">
        <v>170</v>
      </c>
      <c r="H23" s="26">
        <v>280</v>
      </c>
      <c r="I23" s="32" t="s">
        <v>180</v>
      </c>
      <c r="J23" s="27"/>
      <c r="K23" s="2" t="s">
        <v>223</v>
      </c>
    </row>
    <row r="24" spans="1:11" x14ac:dyDescent="0.3">
      <c r="A24" s="7" t="s">
        <v>141</v>
      </c>
      <c r="B24" s="7" t="s">
        <v>235</v>
      </c>
      <c r="C24" s="7" t="s">
        <v>237</v>
      </c>
      <c r="D24" s="7" t="s">
        <v>183</v>
      </c>
      <c r="E24" s="7" t="s">
        <v>238</v>
      </c>
      <c r="F24" s="26">
        <v>30</v>
      </c>
      <c r="G24" s="26">
        <v>35</v>
      </c>
      <c r="H24" s="26">
        <v>45</v>
      </c>
      <c r="I24" s="32" t="s">
        <v>176</v>
      </c>
      <c r="J24" s="27"/>
      <c r="K24" s="2" t="s">
        <v>239</v>
      </c>
    </row>
    <row r="25" spans="1:11" x14ac:dyDescent="0.3">
      <c r="A25" s="7" t="s">
        <v>143</v>
      </c>
      <c r="B25" s="7" t="s">
        <v>237</v>
      </c>
      <c r="C25" s="7" t="s">
        <v>240</v>
      </c>
      <c r="D25" s="7" t="s">
        <v>174</v>
      </c>
      <c r="E25" s="7" t="s">
        <v>241</v>
      </c>
      <c r="F25" s="26">
        <v>35</v>
      </c>
      <c r="G25" s="26">
        <v>45</v>
      </c>
      <c r="H25" s="26">
        <v>70</v>
      </c>
      <c r="I25" s="32" t="s">
        <v>180</v>
      </c>
      <c r="J25" s="27"/>
      <c r="K25" s="2" t="s">
        <v>223</v>
      </c>
    </row>
    <row r="26" spans="1:11" x14ac:dyDescent="0.3">
      <c r="A26" s="7" t="s">
        <v>143</v>
      </c>
      <c r="B26" s="7" t="s">
        <v>240</v>
      </c>
      <c r="C26" s="7" t="s">
        <v>242</v>
      </c>
      <c r="D26" s="7" t="s">
        <v>183</v>
      </c>
      <c r="E26" s="7" t="s">
        <v>243</v>
      </c>
      <c r="F26" s="26">
        <v>35</v>
      </c>
      <c r="G26" s="26">
        <v>50</v>
      </c>
      <c r="H26" s="26">
        <v>85</v>
      </c>
      <c r="I26" s="32" t="s">
        <v>171</v>
      </c>
      <c r="J26" s="27"/>
      <c r="K26" s="2" t="s">
        <v>244</v>
      </c>
    </row>
    <row r="27" spans="1:11" x14ac:dyDescent="0.3">
      <c r="A27" s="7" t="s">
        <v>145</v>
      </c>
      <c r="B27" s="7" t="s">
        <v>242</v>
      </c>
      <c r="C27" s="7" t="s">
        <v>245</v>
      </c>
      <c r="D27" s="7" t="s">
        <v>183</v>
      </c>
      <c r="E27" s="7" t="s">
        <v>246</v>
      </c>
      <c r="F27" s="26">
        <v>35</v>
      </c>
      <c r="G27" s="26">
        <v>45</v>
      </c>
      <c r="H27" s="26">
        <v>60</v>
      </c>
      <c r="I27" s="32" t="s">
        <v>171</v>
      </c>
      <c r="J27" s="27"/>
      <c r="K27" s="2" t="s">
        <v>247</v>
      </c>
    </row>
    <row r="28" spans="1:11" x14ac:dyDescent="0.3">
      <c r="A28" s="7" t="s">
        <v>147</v>
      </c>
      <c r="B28" s="7" t="s">
        <v>245</v>
      </c>
      <c r="C28" s="7" t="s">
        <v>248</v>
      </c>
      <c r="D28" s="7" t="s">
        <v>183</v>
      </c>
      <c r="E28" s="7" t="s">
        <v>249</v>
      </c>
      <c r="F28" s="26">
        <v>25</v>
      </c>
      <c r="G28" s="26">
        <v>30</v>
      </c>
      <c r="H28" s="26">
        <v>45</v>
      </c>
      <c r="I28" s="32" t="s">
        <v>180</v>
      </c>
      <c r="J28" s="27"/>
      <c r="K28" s="2" t="s">
        <v>250</v>
      </c>
    </row>
    <row r="29" spans="1:11" x14ac:dyDescent="0.3">
      <c r="A29" s="7" t="s">
        <v>149</v>
      </c>
      <c r="B29" s="7" t="s">
        <v>248</v>
      </c>
      <c r="C29" s="7" t="s">
        <v>251</v>
      </c>
      <c r="D29" s="7" t="s">
        <v>174</v>
      </c>
      <c r="E29" s="7" t="s">
        <v>252</v>
      </c>
      <c r="F29" s="26">
        <v>40</v>
      </c>
      <c r="G29" s="26">
        <v>60</v>
      </c>
      <c r="H29" s="26">
        <v>100</v>
      </c>
      <c r="I29" s="32" t="s">
        <v>180</v>
      </c>
      <c r="J29" s="27"/>
      <c r="K29" s="2" t="s">
        <v>223</v>
      </c>
    </row>
    <row r="30" spans="1:11" x14ac:dyDescent="0.3">
      <c r="A30" s="7" t="s">
        <v>149</v>
      </c>
      <c r="B30" s="7" t="s">
        <v>248</v>
      </c>
      <c r="C30" s="7" t="s">
        <v>253</v>
      </c>
      <c r="D30" s="7" t="s">
        <v>183</v>
      </c>
      <c r="E30" s="7" t="s">
        <v>254</v>
      </c>
      <c r="F30" s="26">
        <v>70</v>
      </c>
      <c r="G30" s="26">
        <v>100</v>
      </c>
      <c r="H30" s="26">
        <v>160</v>
      </c>
      <c r="I30" s="32" t="s">
        <v>176</v>
      </c>
      <c r="J30" s="27"/>
      <c r="K30" s="2" t="s">
        <v>255</v>
      </c>
    </row>
    <row r="31" spans="1:11" x14ac:dyDescent="0.3">
      <c r="A31" s="7" t="s">
        <v>151</v>
      </c>
      <c r="B31" s="7" t="s">
        <v>253</v>
      </c>
      <c r="C31" s="7" t="s">
        <v>256</v>
      </c>
      <c r="D31" s="7" t="s">
        <v>174</v>
      </c>
      <c r="E31" s="7" t="s">
        <v>257</v>
      </c>
      <c r="F31" s="26">
        <v>170</v>
      </c>
      <c r="G31" s="26">
        <v>255</v>
      </c>
      <c r="H31" s="26">
        <v>420</v>
      </c>
      <c r="I31" s="32" t="s">
        <v>171</v>
      </c>
      <c r="J31" s="27"/>
      <c r="K31" s="2" t="s">
        <v>258</v>
      </c>
    </row>
    <row r="32" spans="1:11" x14ac:dyDescent="0.3">
      <c r="A32" s="7" t="s">
        <v>151</v>
      </c>
      <c r="B32" s="7" t="s">
        <v>259</v>
      </c>
      <c r="C32" s="7" t="s">
        <v>260</v>
      </c>
      <c r="D32" s="7" t="s">
        <v>183</v>
      </c>
      <c r="E32" s="7" t="s">
        <v>261</v>
      </c>
      <c r="F32" s="26">
        <v>130</v>
      </c>
      <c r="G32" s="26">
        <v>200</v>
      </c>
      <c r="H32" s="26">
        <v>300</v>
      </c>
      <c r="I32" s="32" t="s">
        <v>171</v>
      </c>
      <c r="J32" s="27"/>
      <c r="K32" s="2" t="s">
        <v>262</v>
      </c>
    </row>
    <row r="33" spans="1:11" x14ac:dyDescent="0.3">
      <c r="A33" s="7" t="s">
        <v>153</v>
      </c>
      <c r="B33" s="7" t="s">
        <v>260</v>
      </c>
      <c r="C33" s="7" t="s">
        <v>263</v>
      </c>
      <c r="D33" s="7" t="s">
        <v>174</v>
      </c>
      <c r="E33" s="7" t="s">
        <v>264</v>
      </c>
      <c r="F33" s="26">
        <v>410</v>
      </c>
      <c r="G33" s="26">
        <v>545</v>
      </c>
      <c r="H33" s="26">
        <v>725</v>
      </c>
      <c r="I33" s="32" t="s">
        <v>180</v>
      </c>
      <c r="J33" s="27"/>
      <c r="K33" s="2" t="s">
        <v>265</v>
      </c>
    </row>
    <row r="34" spans="1:11" x14ac:dyDescent="0.3">
      <c r="A34" s="7" t="s">
        <v>153</v>
      </c>
      <c r="B34" s="7" t="s">
        <v>266</v>
      </c>
      <c r="C34" s="7" t="s">
        <v>267</v>
      </c>
      <c r="D34" s="7" t="s">
        <v>183</v>
      </c>
      <c r="E34" s="7" t="s">
        <v>268</v>
      </c>
      <c r="F34" s="26">
        <v>25</v>
      </c>
      <c r="G34" s="26">
        <v>35</v>
      </c>
      <c r="H34" s="26">
        <v>60</v>
      </c>
      <c r="I34" s="32" t="s">
        <v>171</v>
      </c>
      <c r="J34" s="27"/>
      <c r="K34" s="2" t="s">
        <v>269</v>
      </c>
    </row>
    <row r="35" spans="1:11" x14ac:dyDescent="0.3">
      <c r="A35" s="7" t="s">
        <v>155</v>
      </c>
      <c r="B35" s="7" t="s">
        <v>267</v>
      </c>
      <c r="C35" s="7" t="s">
        <v>270</v>
      </c>
      <c r="D35" s="7" t="s">
        <v>174</v>
      </c>
      <c r="E35" s="7" t="s">
        <v>271</v>
      </c>
      <c r="F35" s="26">
        <v>20</v>
      </c>
      <c r="G35" s="26">
        <v>30</v>
      </c>
      <c r="H35" s="26">
        <v>60</v>
      </c>
      <c r="I35" s="32" t="s">
        <v>180</v>
      </c>
      <c r="J35" s="27"/>
      <c r="K35" s="2" t="s">
        <v>272</v>
      </c>
    </row>
    <row r="36" spans="1:11" x14ac:dyDescent="0.3">
      <c r="A36" s="7" t="s">
        <v>155</v>
      </c>
      <c r="B36" s="7" t="s">
        <v>267</v>
      </c>
      <c r="C36" s="7" t="s">
        <v>68</v>
      </c>
      <c r="D36" s="7" t="s">
        <v>183</v>
      </c>
      <c r="E36" s="7" t="s">
        <v>273</v>
      </c>
      <c r="F36" s="26">
        <v>280</v>
      </c>
      <c r="G36" s="26">
        <v>330</v>
      </c>
      <c r="H36" s="26">
        <v>420</v>
      </c>
      <c r="I36" s="32" t="s">
        <v>176</v>
      </c>
      <c r="J36" s="27"/>
      <c r="K36" s="2" t="s">
        <v>274</v>
      </c>
    </row>
    <row r="37" spans="1:11" x14ac:dyDescent="0.3">
      <c r="A37" s="7" t="s">
        <v>157</v>
      </c>
      <c r="B37" s="7" t="s">
        <v>68</v>
      </c>
      <c r="C37" s="7" t="s">
        <v>167</v>
      </c>
      <c r="D37" s="7" t="s">
        <v>169</v>
      </c>
      <c r="E37" s="7" t="s">
        <v>275</v>
      </c>
      <c r="F37" s="26">
        <v>350</v>
      </c>
      <c r="G37" s="26">
        <v>470</v>
      </c>
      <c r="H37" s="26">
        <v>700</v>
      </c>
      <c r="I37" s="32" t="s">
        <v>171</v>
      </c>
      <c r="J37" s="27"/>
      <c r="K37" s="2" t="s">
        <v>276</v>
      </c>
    </row>
    <row r="39" spans="1:11" x14ac:dyDescent="0.3">
      <c r="A39" s="28" t="s">
        <v>277</v>
      </c>
      <c r="F39" s="31">
        <f>SUM(F5:F37)</f>
        <v>3865</v>
      </c>
      <c r="G39" s="31">
        <f>SUM(G5:G37)</f>
        <v>5146</v>
      </c>
      <c r="H39" s="31">
        <f>SUM(H5:H37)</f>
        <v>7560</v>
      </c>
      <c r="J39" s="31">
        <f>SUM(J5:J37)</f>
        <v>0</v>
      </c>
    </row>
  </sheetData>
  <dataValidations count="2">
    <dataValidation type="list" allowBlank="1" showErrorMessage="1" errorTitle="Ongeldige waarde" error="Kies een waarde uit de lijst: Binnenlands, Tussen landen, Internationaal" sqref="D5:D37" xr:uid="{00000000-0002-0000-0400-000000000000}">
      <formula1>"Binnenlands,Tussen landen,Internationaal"</formula1>
    </dataValidation>
    <dataValidation type="list" allowBlank="1" showErrorMessage="1" errorTitle="Ongeldige waarde" error="Kies een waarde uit de lijst: Gecheckt 2026-10, Deels gecheckt, Schatting, Geboekt" sqref="I5:I37" xr:uid="{00000000-0002-0000-0400-000001000000}">
      <formula1>"Gecheckt 2026-10,Deels gecheckt,Schatting,Geboekt"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3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8" customWidth="1"/>
    <col min="2" max="2" width="48" customWidth="1"/>
    <col min="3" max="3" width="12" customWidth="1"/>
    <col min="4" max="5" width="11" customWidth="1"/>
    <col min="6" max="8" width="10" customWidth="1"/>
    <col min="9" max="9" width="16" customWidth="1"/>
    <col min="10" max="10" width="12" customWidth="1"/>
    <col min="11" max="11" width="90" customWidth="1"/>
  </cols>
  <sheetData>
    <row r="1" spans="1:11" ht="17.399999999999999" x14ac:dyDescent="0.3">
      <c r="A1" s="1" t="s">
        <v>278</v>
      </c>
    </row>
    <row r="2" spans="1:11" x14ac:dyDescent="0.3">
      <c r="A2" s="2" t="s">
        <v>279</v>
      </c>
    </row>
    <row r="4" spans="1:11" ht="31.95" customHeight="1" x14ac:dyDescent="0.3">
      <c r="A4" s="22" t="s">
        <v>96</v>
      </c>
      <c r="B4" s="22" t="s">
        <v>280</v>
      </c>
      <c r="C4" s="22" t="s">
        <v>281</v>
      </c>
      <c r="D4" s="22" t="s">
        <v>282</v>
      </c>
      <c r="E4" s="22" t="s">
        <v>283</v>
      </c>
      <c r="F4" s="22" t="s">
        <v>25</v>
      </c>
      <c r="G4" s="22" t="s">
        <v>26</v>
      </c>
      <c r="H4" s="22" t="s">
        <v>27</v>
      </c>
      <c r="I4" s="22" t="s">
        <v>164</v>
      </c>
      <c r="J4" s="22" t="s">
        <v>165</v>
      </c>
      <c r="K4" s="22" t="s">
        <v>166</v>
      </c>
    </row>
    <row r="5" spans="1:11" x14ac:dyDescent="0.3">
      <c r="A5" s="7" t="s">
        <v>126</v>
      </c>
      <c r="B5" s="7" t="s">
        <v>284</v>
      </c>
      <c r="C5" s="7" t="s">
        <v>285</v>
      </c>
      <c r="D5" s="7" t="s">
        <v>286</v>
      </c>
      <c r="E5" s="33" t="s">
        <v>287</v>
      </c>
      <c r="F5" s="26">
        <v>550</v>
      </c>
      <c r="G5" s="26">
        <v>700</v>
      </c>
      <c r="H5" s="26">
        <v>1000</v>
      </c>
      <c r="I5" s="32" t="s">
        <v>176</v>
      </c>
      <c r="J5" s="27"/>
      <c r="K5" s="2" t="s">
        <v>288</v>
      </c>
    </row>
    <row r="6" spans="1:11" x14ac:dyDescent="0.3">
      <c r="A6" s="7" t="s">
        <v>128</v>
      </c>
      <c r="B6" s="7" t="s">
        <v>289</v>
      </c>
      <c r="C6" s="7" t="s">
        <v>290</v>
      </c>
      <c r="D6" s="7" t="s">
        <v>286</v>
      </c>
      <c r="E6" s="33" t="s">
        <v>287</v>
      </c>
      <c r="F6" s="26">
        <v>130</v>
      </c>
      <c r="G6" s="26">
        <v>150</v>
      </c>
      <c r="H6" s="26">
        <v>180</v>
      </c>
      <c r="I6" s="32" t="s">
        <v>180</v>
      </c>
      <c r="J6" s="27"/>
      <c r="K6" s="2" t="s">
        <v>291</v>
      </c>
    </row>
    <row r="7" spans="1:11" x14ac:dyDescent="0.3">
      <c r="A7" s="7" t="s">
        <v>128</v>
      </c>
      <c r="B7" s="7" t="s">
        <v>292</v>
      </c>
      <c r="C7" s="7" t="s">
        <v>293</v>
      </c>
      <c r="D7" s="7" t="s">
        <v>286</v>
      </c>
      <c r="E7" s="33" t="s">
        <v>287</v>
      </c>
      <c r="F7" s="26">
        <v>150</v>
      </c>
      <c r="G7" s="26">
        <v>200</v>
      </c>
      <c r="H7" s="26">
        <v>280</v>
      </c>
      <c r="I7" s="32" t="s">
        <v>171</v>
      </c>
      <c r="J7" s="27"/>
      <c r="K7" s="2" t="s">
        <v>294</v>
      </c>
    </row>
    <row r="8" spans="1:11" x14ac:dyDescent="0.3">
      <c r="A8" s="7" t="s">
        <v>128</v>
      </c>
      <c r="B8" s="7" t="s">
        <v>295</v>
      </c>
      <c r="C8" s="7" t="s">
        <v>285</v>
      </c>
      <c r="D8" s="7" t="s">
        <v>287</v>
      </c>
      <c r="E8" s="33" t="s">
        <v>287</v>
      </c>
      <c r="F8" s="26">
        <v>0</v>
      </c>
      <c r="G8" s="26">
        <v>60</v>
      </c>
      <c r="H8" s="26">
        <v>150</v>
      </c>
      <c r="I8" s="32" t="s">
        <v>180</v>
      </c>
      <c r="J8" s="27"/>
      <c r="K8" s="2" t="s">
        <v>296</v>
      </c>
    </row>
    <row r="9" spans="1:11" x14ac:dyDescent="0.3">
      <c r="A9" s="7" t="s">
        <v>130</v>
      </c>
      <c r="B9" s="7" t="s">
        <v>297</v>
      </c>
      <c r="C9" s="7" t="s">
        <v>285</v>
      </c>
      <c r="D9" s="7" t="s">
        <v>286</v>
      </c>
      <c r="E9" s="33" t="s">
        <v>287</v>
      </c>
      <c r="F9" s="26">
        <v>30</v>
      </c>
      <c r="G9" s="26">
        <v>45</v>
      </c>
      <c r="H9" s="26">
        <v>75</v>
      </c>
      <c r="I9" s="32" t="s">
        <v>176</v>
      </c>
      <c r="J9" s="27"/>
      <c r="K9" s="2" t="s">
        <v>298</v>
      </c>
    </row>
    <row r="10" spans="1:11" x14ac:dyDescent="0.3">
      <c r="A10" s="7" t="s">
        <v>132</v>
      </c>
      <c r="B10" s="7" t="s">
        <v>299</v>
      </c>
      <c r="C10" s="7" t="s">
        <v>285</v>
      </c>
      <c r="D10" s="7" t="s">
        <v>287</v>
      </c>
      <c r="E10" s="33" t="s">
        <v>287</v>
      </c>
      <c r="F10" s="26">
        <v>0</v>
      </c>
      <c r="G10" s="26">
        <v>80</v>
      </c>
      <c r="H10" s="26">
        <v>200</v>
      </c>
      <c r="I10" s="32" t="s">
        <v>180</v>
      </c>
      <c r="J10" s="27"/>
      <c r="K10" s="2" t="s">
        <v>296</v>
      </c>
    </row>
    <row r="11" spans="1:11" x14ac:dyDescent="0.3">
      <c r="A11" s="7" t="s">
        <v>135</v>
      </c>
      <c r="B11" s="7" t="s">
        <v>300</v>
      </c>
      <c r="C11" s="7" t="s">
        <v>285</v>
      </c>
      <c r="D11" s="7" t="s">
        <v>286</v>
      </c>
      <c r="E11" s="33" t="s">
        <v>287</v>
      </c>
      <c r="F11" s="26">
        <v>180</v>
      </c>
      <c r="G11" s="26">
        <v>230</v>
      </c>
      <c r="H11" s="26">
        <v>330</v>
      </c>
      <c r="I11" s="32" t="s">
        <v>176</v>
      </c>
      <c r="J11" s="27"/>
      <c r="K11" s="2" t="s">
        <v>301</v>
      </c>
    </row>
    <row r="12" spans="1:11" x14ac:dyDescent="0.3">
      <c r="A12" s="7" t="s">
        <v>135</v>
      </c>
      <c r="B12" s="7" t="s">
        <v>302</v>
      </c>
      <c r="C12" s="7" t="s">
        <v>285</v>
      </c>
      <c r="D12" s="7" t="s">
        <v>286</v>
      </c>
      <c r="E12" s="33" t="s">
        <v>287</v>
      </c>
      <c r="F12" s="26">
        <v>125</v>
      </c>
      <c r="G12" s="26">
        <v>160</v>
      </c>
      <c r="H12" s="26">
        <v>220</v>
      </c>
      <c r="I12" s="32" t="s">
        <v>176</v>
      </c>
      <c r="J12" s="27"/>
      <c r="K12" s="2" t="s">
        <v>303</v>
      </c>
    </row>
    <row r="13" spans="1:11" x14ac:dyDescent="0.3">
      <c r="A13" s="7" t="s">
        <v>137</v>
      </c>
      <c r="B13" s="7" t="s">
        <v>304</v>
      </c>
      <c r="C13" s="7" t="s">
        <v>290</v>
      </c>
      <c r="D13" s="7" t="s">
        <v>286</v>
      </c>
      <c r="E13" s="33" t="s">
        <v>287</v>
      </c>
      <c r="F13" s="26">
        <v>26</v>
      </c>
      <c r="G13" s="26">
        <v>30</v>
      </c>
      <c r="H13" s="26">
        <v>30</v>
      </c>
      <c r="I13" s="32" t="s">
        <v>176</v>
      </c>
      <c r="J13" s="27"/>
      <c r="K13" s="2" t="s">
        <v>305</v>
      </c>
    </row>
    <row r="14" spans="1:11" x14ac:dyDescent="0.3">
      <c r="A14" s="7" t="s">
        <v>137</v>
      </c>
      <c r="B14" s="7" t="s">
        <v>306</v>
      </c>
      <c r="C14" s="7" t="s">
        <v>293</v>
      </c>
      <c r="D14" s="7" t="s">
        <v>286</v>
      </c>
      <c r="E14" s="33" t="s">
        <v>287</v>
      </c>
      <c r="F14" s="26">
        <v>53</v>
      </c>
      <c r="G14" s="26">
        <v>53</v>
      </c>
      <c r="H14" s="26">
        <v>53</v>
      </c>
      <c r="I14" s="32" t="s">
        <v>176</v>
      </c>
      <c r="J14" s="27"/>
      <c r="K14" s="2" t="s">
        <v>307</v>
      </c>
    </row>
    <row r="15" spans="1:11" x14ac:dyDescent="0.3">
      <c r="A15" s="7" t="s">
        <v>137</v>
      </c>
      <c r="B15" s="7" t="s">
        <v>308</v>
      </c>
      <c r="C15" s="7" t="s">
        <v>285</v>
      </c>
      <c r="D15" s="7" t="s">
        <v>286</v>
      </c>
      <c r="E15" s="33" t="s">
        <v>287</v>
      </c>
      <c r="F15" s="26">
        <v>52</v>
      </c>
      <c r="G15" s="26">
        <v>70</v>
      </c>
      <c r="H15" s="26">
        <v>90</v>
      </c>
      <c r="I15" s="32" t="s">
        <v>176</v>
      </c>
      <c r="J15" s="27"/>
      <c r="K15" s="2" t="s">
        <v>309</v>
      </c>
    </row>
    <row r="16" spans="1:11" x14ac:dyDescent="0.3">
      <c r="A16" s="7" t="s">
        <v>139</v>
      </c>
      <c r="B16" s="7" t="s">
        <v>310</v>
      </c>
      <c r="C16" s="7" t="s">
        <v>290</v>
      </c>
      <c r="D16" s="7" t="s">
        <v>286</v>
      </c>
      <c r="E16" s="33" t="s">
        <v>287</v>
      </c>
      <c r="F16" s="26">
        <v>26</v>
      </c>
      <c r="G16" s="26">
        <v>35</v>
      </c>
      <c r="H16" s="26">
        <v>43</v>
      </c>
      <c r="I16" s="32" t="s">
        <v>171</v>
      </c>
      <c r="J16" s="27"/>
      <c r="K16" s="2" t="s">
        <v>311</v>
      </c>
    </row>
    <row r="17" spans="1:11" x14ac:dyDescent="0.3">
      <c r="A17" s="7" t="s">
        <v>141</v>
      </c>
      <c r="B17" s="7" t="s">
        <v>312</v>
      </c>
      <c r="C17" s="7" t="s">
        <v>285</v>
      </c>
      <c r="D17" s="7" t="s">
        <v>286</v>
      </c>
      <c r="E17" s="33" t="s">
        <v>287</v>
      </c>
      <c r="F17" s="26">
        <v>70</v>
      </c>
      <c r="G17" s="26">
        <v>95</v>
      </c>
      <c r="H17" s="26">
        <v>150</v>
      </c>
      <c r="I17" s="32" t="s">
        <v>176</v>
      </c>
      <c r="J17" s="27"/>
      <c r="K17" s="2" t="s">
        <v>313</v>
      </c>
    </row>
    <row r="18" spans="1:11" x14ac:dyDescent="0.3">
      <c r="A18" s="7" t="s">
        <v>147</v>
      </c>
      <c r="B18" s="7" t="s">
        <v>314</v>
      </c>
      <c r="C18" s="7" t="s">
        <v>285</v>
      </c>
      <c r="D18" s="7" t="s">
        <v>286</v>
      </c>
      <c r="E18" s="33" t="s">
        <v>287</v>
      </c>
      <c r="F18" s="26">
        <v>95</v>
      </c>
      <c r="G18" s="26">
        <v>120</v>
      </c>
      <c r="H18" s="26">
        <v>150</v>
      </c>
      <c r="I18" s="32" t="s">
        <v>176</v>
      </c>
      <c r="J18" s="27"/>
      <c r="K18" s="2" t="s">
        <v>315</v>
      </c>
    </row>
    <row r="19" spans="1:11" x14ac:dyDescent="0.3">
      <c r="A19" s="7" t="s">
        <v>149</v>
      </c>
      <c r="B19" s="7" t="s">
        <v>316</v>
      </c>
      <c r="C19" s="7" t="s">
        <v>285</v>
      </c>
      <c r="D19" s="7" t="s">
        <v>286</v>
      </c>
      <c r="E19" s="33" t="s">
        <v>287</v>
      </c>
      <c r="F19" s="26">
        <v>100</v>
      </c>
      <c r="G19" s="26">
        <v>150</v>
      </c>
      <c r="H19" s="26">
        <v>340</v>
      </c>
      <c r="I19" s="32" t="s">
        <v>176</v>
      </c>
      <c r="J19" s="27"/>
      <c r="K19" s="2" t="s">
        <v>317</v>
      </c>
    </row>
    <row r="20" spans="1:11" x14ac:dyDescent="0.3">
      <c r="A20" s="7" t="s">
        <v>149</v>
      </c>
      <c r="B20" s="7" t="s">
        <v>318</v>
      </c>
      <c r="C20" s="7" t="s">
        <v>285</v>
      </c>
      <c r="D20" s="7" t="s">
        <v>287</v>
      </c>
      <c r="E20" s="33" t="s">
        <v>286</v>
      </c>
      <c r="F20" s="26">
        <v>440</v>
      </c>
      <c r="G20" s="26">
        <v>600</v>
      </c>
      <c r="H20" s="26">
        <v>760</v>
      </c>
      <c r="I20" s="32" t="s">
        <v>176</v>
      </c>
      <c r="J20" s="27"/>
      <c r="K20" s="2" t="s">
        <v>319</v>
      </c>
    </row>
    <row r="21" spans="1:11" x14ac:dyDescent="0.3">
      <c r="A21" s="7" t="s">
        <v>151</v>
      </c>
      <c r="B21" s="7" t="s">
        <v>320</v>
      </c>
      <c r="C21" s="7" t="s">
        <v>285</v>
      </c>
      <c r="D21" s="7" t="s">
        <v>286</v>
      </c>
      <c r="E21" s="33" t="s">
        <v>287</v>
      </c>
      <c r="F21" s="26">
        <v>200</v>
      </c>
      <c r="G21" s="26">
        <v>265</v>
      </c>
      <c r="H21" s="26">
        <v>650</v>
      </c>
      <c r="I21" s="32" t="s">
        <v>176</v>
      </c>
      <c r="J21" s="27"/>
      <c r="K21" s="2" t="s">
        <v>321</v>
      </c>
    </row>
    <row r="22" spans="1:11" x14ac:dyDescent="0.3">
      <c r="A22" s="7" t="s">
        <v>151</v>
      </c>
      <c r="B22" s="7" t="s">
        <v>322</v>
      </c>
      <c r="C22" s="7" t="s">
        <v>285</v>
      </c>
      <c r="D22" s="7" t="s">
        <v>286</v>
      </c>
      <c r="E22" s="33" t="s">
        <v>287</v>
      </c>
      <c r="F22" s="26">
        <v>60</v>
      </c>
      <c r="G22" s="26">
        <v>90</v>
      </c>
      <c r="H22" s="26">
        <v>140</v>
      </c>
      <c r="I22" s="32" t="s">
        <v>171</v>
      </c>
      <c r="J22" s="27"/>
      <c r="K22" s="2" t="s">
        <v>323</v>
      </c>
    </row>
    <row r="23" spans="1:11" x14ac:dyDescent="0.3">
      <c r="A23" s="7" t="s">
        <v>151</v>
      </c>
      <c r="B23" s="7" t="s">
        <v>324</v>
      </c>
      <c r="C23" s="7" t="s">
        <v>285</v>
      </c>
      <c r="D23" s="7" t="s">
        <v>287</v>
      </c>
      <c r="E23" s="33" t="s">
        <v>286</v>
      </c>
      <c r="F23" s="26">
        <v>250</v>
      </c>
      <c r="G23" s="26">
        <v>350</v>
      </c>
      <c r="H23" s="26">
        <v>450</v>
      </c>
      <c r="I23" s="32" t="s">
        <v>180</v>
      </c>
      <c r="J23" s="27"/>
      <c r="K23" s="2" t="s">
        <v>296</v>
      </c>
    </row>
    <row r="24" spans="1:11" x14ac:dyDescent="0.3">
      <c r="A24" s="7" t="s">
        <v>153</v>
      </c>
      <c r="B24" s="7" t="s">
        <v>325</v>
      </c>
      <c r="C24" s="7" t="s">
        <v>290</v>
      </c>
      <c r="D24" s="7" t="s">
        <v>286</v>
      </c>
      <c r="E24" s="33" t="s">
        <v>287</v>
      </c>
      <c r="F24" s="26">
        <v>53</v>
      </c>
      <c r="G24" s="26">
        <v>53</v>
      </c>
      <c r="H24" s="26">
        <v>105</v>
      </c>
      <c r="I24" s="32" t="s">
        <v>176</v>
      </c>
      <c r="J24" s="27"/>
      <c r="K24" s="2" t="s">
        <v>326</v>
      </c>
    </row>
    <row r="25" spans="1:11" x14ac:dyDescent="0.3">
      <c r="A25" s="7" t="s">
        <v>153</v>
      </c>
      <c r="B25" s="7" t="s">
        <v>327</v>
      </c>
      <c r="C25" s="7" t="s">
        <v>285</v>
      </c>
      <c r="D25" s="7" t="s">
        <v>286</v>
      </c>
      <c r="E25" s="33" t="s">
        <v>287</v>
      </c>
      <c r="F25" s="26">
        <v>100</v>
      </c>
      <c r="G25" s="26">
        <v>120</v>
      </c>
      <c r="H25" s="26">
        <v>155</v>
      </c>
      <c r="I25" s="32" t="s">
        <v>176</v>
      </c>
      <c r="J25" s="27"/>
      <c r="K25" s="2" t="s">
        <v>328</v>
      </c>
    </row>
    <row r="26" spans="1:11" x14ac:dyDescent="0.3">
      <c r="A26" s="7" t="s">
        <v>153</v>
      </c>
      <c r="B26" s="7" t="s">
        <v>329</v>
      </c>
      <c r="C26" s="7" t="s">
        <v>293</v>
      </c>
      <c r="D26" s="7" t="s">
        <v>286</v>
      </c>
      <c r="E26" s="33" t="s">
        <v>287</v>
      </c>
      <c r="F26" s="26">
        <v>30</v>
      </c>
      <c r="G26" s="26">
        <v>50</v>
      </c>
      <c r="H26" s="26">
        <v>90</v>
      </c>
      <c r="I26" s="32" t="s">
        <v>180</v>
      </c>
      <c r="J26" s="27"/>
      <c r="K26" s="2" t="s">
        <v>296</v>
      </c>
    </row>
    <row r="27" spans="1:11" x14ac:dyDescent="0.3">
      <c r="A27" s="7" t="s">
        <v>153</v>
      </c>
      <c r="B27" s="7" t="s">
        <v>330</v>
      </c>
      <c r="C27" s="7" t="s">
        <v>285</v>
      </c>
      <c r="D27" s="7" t="s">
        <v>286</v>
      </c>
      <c r="E27" s="33" t="s">
        <v>287</v>
      </c>
      <c r="F27" s="26">
        <v>40</v>
      </c>
      <c r="G27" s="26">
        <v>60</v>
      </c>
      <c r="H27" s="26">
        <v>100</v>
      </c>
      <c r="I27" s="32" t="s">
        <v>180</v>
      </c>
      <c r="J27" s="27"/>
      <c r="K27" s="2" t="s">
        <v>296</v>
      </c>
    </row>
    <row r="28" spans="1:11" x14ac:dyDescent="0.3">
      <c r="A28" s="7" t="s">
        <v>153</v>
      </c>
      <c r="B28" s="7" t="s">
        <v>331</v>
      </c>
      <c r="C28" s="7" t="s">
        <v>285</v>
      </c>
      <c r="D28" s="7" t="s">
        <v>286</v>
      </c>
      <c r="E28" s="33" t="s">
        <v>287</v>
      </c>
      <c r="F28" s="26">
        <v>120</v>
      </c>
      <c r="G28" s="26">
        <v>200</v>
      </c>
      <c r="H28" s="26">
        <v>350</v>
      </c>
      <c r="I28" s="32" t="s">
        <v>171</v>
      </c>
      <c r="J28" s="27"/>
      <c r="K28" s="2" t="s">
        <v>332</v>
      </c>
    </row>
    <row r="29" spans="1:11" x14ac:dyDescent="0.3">
      <c r="A29" s="7" t="s">
        <v>153</v>
      </c>
      <c r="B29" s="7" t="s">
        <v>333</v>
      </c>
      <c r="C29" s="7" t="s">
        <v>285</v>
      </c>
      <c r="D29" s="7" t="s">
        <v>287</v>
      </c>
      <c r="E29" s="33" t="s">
        <v>286</v>
      </c>
      <c r="F29" s="26">
        <v>300</v>
      </c>
      <c r="G29" s="26">
        <v>450</v>
      </c>
      <c r="H29" s="26">
        <v>700</v>
      </c>
      <c r="I29" s="32" t="s">
        <v>171</v>
      </c>
      <c r="J29" s="27"/>
      <c r="K29" s="2" t="s">
        <v>334</v>
      </c>
    </row>
    <row r="30" spans="1:11" x14ac:dyDescent="0.3">
      <c r="A30" s="7" t="s">
        <v>153</v>
      </c>
      <c r="B30" s="7" t="s">
        <v>335</v>
      </c>
      <c r="C30" s="7" t="s">
        <v>285</v>
      </c>
      <c r="D30" s="7" t="s">
        <v>287</v>
      </c>
      <c r="E30" s="33" t="s">
        <v>286</v>
      </c>
      <c r="F30" s="26">
        <v>150</v>
      </c>
      <c r="G30" s="26">
        <v>200</v>
      </c>
      <c r="H30" s="26">
        <v>300</v>
      </c>
      <c r="I30" s="32" t="s">
        <v>180</v>
      </c>
      <c r="J30" s="27"/>
      <c r="K30" s="2" t="s">
        <v>296</v>
      </c>
    </row>
    <row r="31" spans="1:11" x14ac:dyDescent="0.3">
      <c r="A31" s="7" t="s">
        <v>155</v>
      </c>
      <c r="B31" s="7" t="s">
        <v>336</v>
      </c>
      <c r="C31" s="7" t="s">
        <v>285</v>
      </c>
      <c r="D31" s="7" t="s">
        <v>286</v>
      </c>
      <c r="E31" s="33" t="s">
        <v>287</v>
      </c>
      <c r="F31" s="26">
        <v>25</v>
      </c>
      <c r="G31" s="26">
        <v>100</v>
      </c>
      <c r="H31" s="26">
        <v>150</v>
      </c>
      <c r="I31" s="32" t="s">
        <v>180</v>
      </c>
      <c r="J31" s="27"/>
      <c r="K31" s="2" t="s">
        <v>337</v>
      </c>
    </row>
    <row r="33" spans="1:10" x14ac:dyDescent="0.3">
      <c r="A33" s="28" t="s">
        <v>338</v>
      </c>
      <c r="F33" s="31">
        <f>SUMIFS(F5:F31,$E$5:$E$31,"Ja")</f>
        <v>2215</v>
      </c>
      <c r="G33" s="31">
        <f>SUMIFS(G5:G31,$E$5:$E$31,"Ja")</f>
        <v>3116</v>
      </c>
      <c r="H33" s="31">
        <f>SUMIFS(H5:H31,$E$5:$E$31,"Ja")</f>
        <v>5031</v>
      </c>
      <c r="J33" s="31">
        <f>SUM(J5:J31)</f>
        <v>0</v>
      </c>
    </row>
  </sheetData>
  <dataValidations count="3">
    <dataValidation type="list" allowBlank="1" showErrorMessage="1" errorTitle="Ongeldige waarde" error="Kies een waarde uit de lijst: Ja, Nee" sqref="D5:E31" xr:uid="{00000000-0002-0000-0500-000000000000}">
      <formula1>"Ja,Nee"</formula1>
    </dataValidation>
    <dataValidation type="list" allowBlank="1" showErrorMessage="1" errorTitle="Ongeldige waarde" error="Kies een waarde uit de lijst: Tour, Toegang, Visum" sqref="C5:C31" xr:uid="{00000000-0002-0000-0500-000001000000}">
      <formula1>"Tour,Toegang,Visum"</formula1>
    </dataValidation>
    <dataValidation type="list" allowBlank="1" showErrorMessage="1" errorTitle="Ongeldige waarde" error="Kies een waarde uit de lijst: Gecheckt 2026-10, Deels gecheckt, Schatting, Geboekt" sqref="I5:I31" xr:uid="{00000000-0002-0000-0500-000002000000}">
      <formula1>"Gecheckt 2026-10,Deels gecheckt,Schatting,Geboekt"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9"/>
  <sheetViews>
    <sheetView workbookViewId="0"/>
  </sheetViews>
  <sheetFormatPr defaultRowHeight="14.4" x14ac:dyDescent="0.3"/>
  <cols>
    <col min="1" max="1" width="18" customWidth="1"/>
    <col min="2" max="2" width="52" customWidth="1"/>
    <col min="3" max="5" width="11" customWidth="1"/>
    <col min="6" max="6" width="90" customWidth="1"/>
    <col min="7" max="7" width="14" customWidth="1"/>
  </cols>
  <sheetData>
    <row r="1" spans="1:7" ht="17.399999999999999" x14ac:dyDescent="0.3">
      <c r="A1" s="1" t="s">
        <v>339</v>
      </c>
    </row>
    <row r="3" spans="1:7" ht="31.95" customHeight="1" x14ac:dyDescent="0.3">
      <c r="A3" s="22" t="s">
        <v>281</v>
      </c>
      <c r="B3" s="22" t="s">
        <v>340</v>
      </c>
      <c r="C3" s="22" t="s">
        <v>25</v>
      </c>
      <c r="D3" s="22" t="s">
        <v>26</v>
      </c>
      <c r="E3" s="22" t="s">
        <v>27</v>
      </c>
      <c r="F3" s="22" t="s">
        <v>341</v>
      </c>
      <c r="G3" s="22" t="s">
        <v>165</v>
      </c>
    </row>
    <row r="4" spans="1:7" x14ac:dyDescent="0.3">
      <c r="A4" s="7" t="s">
        <v>342</v>
      </c>
      <c r="B4" s="7" t="s">
        <v>343</v>
      </c>
      <c r="C4" s="26">
        <v>700</v>
      </c>
      <c r="D4" s="26">
        <v>1000</v>
      </c>
      <c r="E4" s="26">
        <v>1500</v>
      </c>
      <c r="F4" s="2" t="s">
        <v>344</v>
      </c>
      <c r="G4" s="27"/>
    </row>
    <row r="5" spans="1:7" x14ac:dyDescent="0.3">
      <c r="A5" s="7" t="s">
        <v>345</v>
      </c>
      <c r="B5" s="7" t="s">
        <v>346</v>
      </c>
      <c r="C5" s="26">
        <v>430</v>
      </c>
      <c r="D5" s="26">
        <v>480</v>
      </c>
      <c r="E5" s="26">
        <v>700</v>
      </c>
      <c r="F5" s="2" t="s">
        <v>347</v>
      </c>
      <c r="G5" s="27"/>
    </row>
    <row r="6" spans="1:7" x14ac:dyDescent="0.3">
      <c r="A6" s="7" t="s">
        <v>345</v>
      </c>
      <c r="B6" s="7" t="s">
        <v>348</v>
      </c>
      <c r="C6" s="26">
        <v>80</v>
      </c>
      <c r="D6" s="26">
        <v>140</v>
      </c>
      <c r="E6" s="26">
        <v>240</v>
      </c>
      <c r="F6" s="2" t="s">
        <v>349</v>
      </c>
      <c r="G6" s="27"/>
    </row>
    <row r="7" spans="1:7" x14ac:dyDescent="0.3">
      <c r="A7" s="7" t="s">
        <v>350</v>
      </c>
      <c r="B7" s="7" t="s">
        <v>351</v>
      </c>
      <c r="C7" s="26">
        <v>250</v>
      </c>
      <c r="D7" s="26">
        <v>500</v>
      </c>
      <c r="E7" s="26">
        <v>900</v>
      </c>
      <c r="F7" s="2" t="s">
        <v>352</v>
      </c>
      <c r="G7" s="27"/>
    </row>
    <row r="8" spans="1:7" x14ac:dyDescent="0.3">
      <c r="A8" s="7" t="s">
        <v>353</v>
      </c>
      <c r="B8" s="7" t="s">
        <v>354</v>
      </c>
      <c r="C8" s="26">
        <v>120</v>
      </c>
      <c r="D8" s="26">
        <v>200</v>
      </c>
      <c r="E8" s="26">
        <v>330</v>
      </c>
      <c r="F8" s="2" t="s">
        <v>355</v>
      </c>
      <c r="G8" s="27"/>
    </row>
    <row r="9" spans="1:7" x14ac:dyDescent="0.3">
      <c r="A9" s="7" t="s">
        <v>356</v>
      </c>
      <c r="B9" s="7" t="s">
        <v>357</v>
      </c>
      <c r="C9" s="26">
        <v>20</v>
      </c>
      <c r="D9" s="26">
        <v>20</v>
      </c>
      <c r="E9" s="26">
        <v>100</v>
      </c>
      <c r="F9" s="2" t="s">
        <v>358</v>
      </c>
      <c r="G9" s="27"/>
    </row>
    <row r="10" spans="1:7" x14ac:dyDescent="0.3">
      <c r="A10" s="28" t="s">
        <v>359</v>
      </c>
      <c r="C10" s="31">
        <f>SUM(C4:C9)</f>
        <v>1600</v>
      </c>
      <c r="D10" s="31">
        <f>SUM(D4:D9)</f>
        <v>2340</v>
      </c>
      <c r="E10" s="31">
        <f>SUM(E4:E9)</f>
        <v>3770</v>
      </c>
      <c r="G10" s="31">
        <f>SUM(G4:G9)</f>
        <v>0</v>
      </c>
    </row>
    <row r="12" spans="1:7" x14ac:dyDescent="0.3">
      <c r="A12" s="3" t="s">
        <v>360</v>
      </c>
    </row>
    <row r="13" spans="1:7" x14ac:dyDescent="0.3">
      <c r="B13" s="7" t="s">
        <v>361</v>
      </c>
      <c r="C13" s="34">
        <v>0</v>
      </c>
      <c r="D13" s="10">
        <f>C13</f>
        <v>0</v>
      </c>
      <c r="E13" s="10">
        <f>C13</f>
        <v>0</v>
      </c>
      <c r="F13" s="2" t="s">
        <v>362</v>
      </c>
    </row>
    <row r="14" spans="1:7" x14ac:dyDescent="0.3">
      <c r="B14" s="7" t="s">
        <v>363</v>
      </c>
      <c r="C14" s="34">
        <v>0</v>
      </c>
      <c r="D14" s="10">
        <f>C14</f>
        <v>0</v>
      </c>
      <c r="E14" s="10">
        <f>C14</f>
        <v>0</v>
      </c>
      <c r="F14" s="2" t="s">
        <v>364</v>
      </c>
    </row>
    <row r="15" spans="1:7" x14ac:dyDescent="0.3">
      <c r="B15" s="7" t="s">
        <v>365</v>
      </c>
      <c r="C15" s="34">
        <v>0</v>
      </c>
      <c r="D15" s="10">
        <f>C15</f>
        <v>0</v>
      </c>
      <c r="E15" s="10">
        <f>C15</f>
        <v>0</v>
      </c>
      <c r="F15" s="2" t="s">
        <v>366</v>
      </c>
    </row>
    <row r="16" spans="1:7" x14ac:dyDescent="0.3">
      <c r="B16" s="7" t="s">
        <v>367</v>
      </c>
      <c r="C16" s="34">
        <v>0</v>
      </c>
      <c r="D16" s="10">
        <f>C16</f>
        <v>0</v>
      </c>
      <c r="E16" s="10">
        <f>C16</f>
        <v>0</v>
      </c>
      <c r="F16" s="2" t="s">
        <v>368</v>
      </c>
    </row>
    <row r="17" spans="1:6" x14ac:dyDescent="0.3">
      <c r="B17" s="7" t="s">
        <v>369</v>
      </c>
      <c r="C17" s="34">
        <v>0</v>
      </c>
      <c r="D17" s="10">
        <f>C17</f>
        <v>0</v>
      </c>
      <c r="E17" s="10">
        <f>C17</f>
        <v>0</v>
      </c>
      <c r="F17" s="2" t="s">
        <v>370</v>
      </c>
    </row>
    <row r="18" spans="1:6" x14ac:dyDescent="0.3">
      <c r="A18" s="4" t="s">
        <v>371</v>
      </c>
      <c r="C18" s="15">
        <f>SUM(C13:C17)</f>
        <v>0</v>
      </c>
      <c r="D18" s="15">
        <f>SUM(D13:D17)</f>
        <v>0</v>
      </c>
      <c r="E18" s="15">
        <f>SUM(E13:E17)</f>
        <v>0</v>
      </c>
    </row>
    <row r="19" spans="1:6" x14ac:dyDescent="0.3">
      <c r="A19" s="28" t="s">
        <v>372</v>
      </c>
      <c r="C19" s="31">
        <f>C18*Instellingen!$B$10</f>
        <v>0</v>
      </c>
      <c r="D19" s="31">
        <f>D18*Instellingen!$B$10</f>
        <v>0</v>
      </c>
      <c r="E19" s="31">
        <f>E18*Instellingen!$B$10</f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9"/>
  <sheetViews>
    <sheetView workbookViewId="0"/>
  </sheetViews>
  <sheetFormatPr defaultRowHeight="14.4" x14ac:dyDescent="0.3"/>
  <cols>
    <col min="1" max="1" width="30" customWidth="1"/>
    <col min="2" max="2" width="120" customWidth="1"/>
  </cols>
  <sheetData>
    <row r="1" spans="1:2" ht="17.399999999999999" x14ac:dyDescent="0.3">
      <c r="A1" s="1" t="s">
        <v>373</v>
      </c>
    </row>
    <row r="3" spans="1:2" x14ac:dyDescent="0.3">
      <c r="A3" s="3" t="s">
        <v>374</v>
      </c>
    </row>
    <row r="4" spans="1:2" x14ac:dyDescent="0.3">
      <c r="A4" s="4" t="s">
        <v>375</v>
      </c>
      <c r="B4" s="5" t="s">
        <v>376</v>
      </c>
    </row>
    <row r="5" spans="1:2" x14ac:dyDescent="0.3">
      <c r="A5" s="4" t="s">
        <v>377</v>
      </c>
      <c r="B5" s="5" t="s">
        <v>378</v>
      </c>
    </row>
    <row r="6" spans="1:2" x14ac:dyDescent="0.3">
      <c r="A6" s="4" t="s">
        <v>379</v>
      </c>
      <c r="B6" s="5" t="s">
        <v>380</v>
      </c>
    </row>
    <row r="7" spans="1:2" x14ac:dyDescent="0.3">
      <c r="A7" s="4" t="s">
        <v>381</v>
      </c>
      <c r="B7" s="5" t="s">
        <v>382</v>
      </c>
    </row>
    <row r="8" spans="1:2" ht="26.4" x14ac:dyDescent="0.3">
      <c r="A8" s="4" t="s">
        <v>383</v>
      </c>
      <c r="B8" s="5" t="s">
        <v>384</v>
      </c>
    </row>
    <row r="9" spans="1:2" x14ac:dyDescent="0.3">
      <c r="A9" s="4" t="s">
        <v>385</v>
      </c>
      <c r="B9" s="5" t="s">
        <v>386</v>
      </c>
    </row>
    <row r="10" spans="1:2" x14ac:dyDescent="0.3">
      <c r="A10" s="4" t="s">
        <v>387</v>
      </c>
      <c r="B10" s="5" t="s">
        <v>388</v>
      </c>
    </row>
    <row r="11" spans="1:2" x14ac:dyDescent="0.3">
      <c r="A11" s="4" t="s">
        <v>389</v>
      </c>
      <c r="B11" s="5" t="s">
        <v>390</v>
      </c>
    </row>
    <row r="12" spans="1:2" x14ac:dyDescent="0.3">
      <c r="A12" s="4" t="s">
        <v>391</v>
      </c>
      <c r="B12" s="5" t="s">
        <v>392</v>
      </c>
    </row>
    <row r="13" spans="1:2" x14ac:dyDescent="0.3">
      <c r="A13" s="4"/>
    </row>
    <row r="14" spans="1:2" x14ac:dyDescent="0.3">
      <c r="A14" s="3" t="s">
        <v>393</v>
      </c>
    </row>
    <row r="15" spans="1:2" ht="39.6" x14ac:dyDescent="0.3">
      <c r="A15" s="4" t="s">
        <v>394</v>
      </c>
      <c r="B15" s="5" t="s">
        <v>395</v>
      </c>
    </row>
    <row r="16" spans="1:2" x14ac:dyDescent="0.3">
      <c r="A16" s="4" t="s">
        <v>396</v>
      </c>
      <c r="B16" s="5" t="s">
        <v>397</v>
      </c>
    </row>
    <row r="17" spans="1:2" ht="26.4" x14ac:dyDescent="0.3">
      <c r="A17" s="4" t="s">
        <v>398</v>
      </c>
      <c r="B17" s="5" t="s">
        <v>399</v>
      </c>
    </row>
    <row r="18" spans="1:2" x14ac:dyDescent="0.3">
      <c r="A18" s="4" t="s">
        <v>400</v>
      </c>
      <c r="B18" s="5" t="s">
        <v>401</v>
      </c>
    </row>
    <row r="19" spans="1:2" x14ac:dyDescent="0.3">
      <c r="A19" s="4" t="s">
        <v>402</v>
      </c>
      <c r="B19" s="5" t="s">
        <v>403</v>
      </c>
    </row>
    <row r="20" spans="1:2" ht="26.4" x14ac:dyDescent="0.3">
      <c r="A20" s="4" t="s">
        <v>356</v>
      </c>
      <c r="B20" s="5" t="s">
        <v>404</v>
      </c>
    </row>
    <row r="21" spans="1:2" x14ac:dyDescent="0.3">
      <c r="A21" s="4" t="s">
        <v>345</v>
      </c>
      <c r="B21" s="5" t="s">
        <v>405</v>
      </c>
    </row>
    <row r="22" spans="1:2" x14ac:dyDescent="0.3">
      <c r="A22" s="4" t="s">
        <v>406</v>
      </c>
      <c r="B22" s="5" t="s">
        <v>407</v>
      </c>
    </row>
    <row r="23" spans="1:2" x14ac:dyDescent="0.3">
      <c r="A23" s="4" t="s">
        <v>408</v>
      </c>
      <c r="B23" s="5" t="s">
        <v>409</v>
      </c>
    </row>
    <row r="24" spans="1:2" x14ac:dyDescent="0.3">
      <c r="A24" s="4"/>
    </row>
    <row r="25" spans="1:2" x14ac:dyDescent="0.3">
      <c r="A25" s="3" t="s">
        <v>410</v>
      </c>
    </row>
    <row r="26" spans="1:2" ht="26.4" x14ac:dyDescent="0.3">
      <c r="A26" s="4" t="s">
        <v>411</v>
      </c>
      <c r="B26" s="5" t="s">
        <v>412</v>
      </c>
    </row>
    <row r="27" spans="1:2" x14ac:dyDescent="0.3">
      <c r="A27" s="4" t="s">
        <v>413</v>
      </c>
      <c r="B27" s="5" t="s">
        <v>414</v>
      </c>
    </row>
    <row r="28" spans="1:2" x14ac:dyDescent="0.3">
      <c r="A28" s="4" t="s">
        <v>415</v>
      </c>
      <c r="B28" s="5" t="s">
        <v>416</v>
      </c>
    </row>
    <row r="29" spans="1:2" x14ac:dyDescent="0.3">
      <c r="A29" s="4" t="s">
        <v>417</v>
      </c>
      <c r="B29" s="5" t="s">
        <v>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Start</vt:lpstr>
      <vt:lpstr>Overzicht</vt:lpstr>
      <vt:lpstr>Instellingen</vt:lpstr>
      <vt:lpstr>Per land</vt:lpstr>
      <vt:lpstr>Vervoer</vt:lpstr>
      <vt:lpstr>Extra's</vt:lpstr>
      <vt:lpstr>Vooraf &amp; vast</vt:lpstr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Youri Warmelink</cp:lastModifiedBy>
  <dcterms:created xsi:type="dcterms:W3CDTF">2026-10-26T15:44:05Z</dcterms:created>
  <dcterms:modified xsi:type="dcterms:W3CDTF">2026-10-26T15:44:29Z</dcterms:modified>
</cp:coreProperties>
</file>